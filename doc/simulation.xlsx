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files\c_beck\solar\doc\"/>
    </mc:Choice>
  </mc:AlternateContent>
  <bookViews>
    <workbookView xWindow="0" yWindow="0" windowWidth="51600" windowHeight="16035"/>
  </bookViews>
  <sheets>
    <sheet name="data" sheetId="1" r:id="rId1"/>
    <sheet name="Power" sheetId="2" r:id="rId2"/>
    <sheet name="Sheet2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5" i="1" l="1"/>
  <c r="N105" i="1"/>
  <c r="O105" i="1"/>
  <c r="E33" i="1" l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32" i="1"/>
  <c r="O103" i="1" l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8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9" i="1"/>
  <c r="C10" i="1"/>
  <c r="C11" i="1"/>
  <c r="C12" i="1"/>
  <c r="C13" i="1"/>
  <c r="C8" i="1"/>
  <c r="B46" i="1"/>
  <c r="K46" i="1" s="1"/>
  <c r="B47" i="1"/>
  <c r="K47" i="1" s="1"/>
  <c r="B48" i="1"/>
  <c r="K48" i="1" s="1"/>
  <c r="B49" i="1"/>
  <c r="K49" i="1" s="1"/>
  <c r="B50" i="1"/>
  <c r="K50" i="1" s="1"/>
  <c r="B51" i="1"/>
  <c r="K51" i="1" s="1"/>
  <c r="B52" i="1"/>
  <c r="K52" i="1" s="1"/>
  <c r="B53" i="1"/>
  <c r="K53" i="1" s="1"/>
  <c r="B54" i="1"/>
  <c r="K54" i="1" s="1"/>
  <c r="B55" i="1"/>
  <c r="K55" i="1" s="1"/>
  <c r="B56" i="1"/>
  <c r="K56" i="1" s="1"/>
  <c r="B57" i="1"/>
  <c r="K57" i="1" s="1"/>
  <c r="B58" i="1"/>
  <c r="K58" i="1" s="1"/>
  <c r="B59" i="1"/>
  <c r="K59" i="1" s="1"/>
  <c r="B60" i="1"/>
  <c r="K60" i="1" s="1"/>
  <c r="B61" i="1"/>
  <c r="K61" i="1" s="1"/>
  <c r="B62" i="1"/>
  <c r="K62" i="1" s="1"/>
  <c r="B63" i="1"/>
  <c r="K63" i="1" s="1"/>
  <c r="B64" i="1"/>
  <c r="K64" i="1" s="1"/>
  <c r="B65" i="1"/>
  <c r="K65" i="1" s="1"/>
  <c r="B66" i="1"/>
  <c r="K66" i="1" s="1"/>
  <c r="B67" i="1"/>
  <c r="K67" i="1" s="1"/>
  <c r="B68" i="1"/>
  <c r="K68" i="1" s="1"/>
  <c r="B69" i="1"/>
  <c r="K69" i="1" s="1"/>
  <c r="B70" i="1"/>
  <c r="K70" i="1" s="1"/>
  <c r="B71" i="1"/>
  <c r="K71" i="1" s="1"/>
  <c r="B72" i="1"/>
  <c r="K72" i="1" s="1"/>
  <c r="B73" i="1"/>
  <c r="K73" i="1" s="1"/>
  <c r="B74" i="1"/>
  <c r="K74" i="1" s="1"/>
  <c r="B75" i="1"/>
  <c r="K75" i="1" s="1"/>
  <c r="B76" i="1"/>
  <c r="K76" i="1" s="1"/>
  <c r="B77" i="1"/>
  <c r="K77" i="1" s="1"/>
  <c r="B78" i="1"/>
  <c r="K78" i="1" s="1"/>
  <c r="B79" i="1"/>
  <c r="K79" i="1" s="1"/>
  <c r="B80" i="1"/>
  <c r="K80" i="1" s="1"/>
  <c r="B81" i="1"/>
  <c r="K81" i="1" s="1"/>
  <c r="B82" i="1"/>
  <c r="K82" i="1" s="1"/>
  <c r="B83" i="1"/>
  <c r="K83" i="1" s="1"/>
  <c r="B84" i="1"/>
  <c r="K84" i="1" s="1"/>
  <c r="B85" i="1"/>
  <c r="K85" i="1" s="1"/>
  <c r="B86" i="1"/>
  <c r="K86" i="1" s="1"/>
  <c r="B87" i="1"/>
  <c r="K87" i="1" s="1"/>
  <c r="B88" i="1"/>
  <c r="K88" i="1" s="1"/>
  <c r="B89" i="1"/>
  <c r="K89" i="1" s="1"/>
  <c r="B90" i="1"/>
  <c r="K90" i="1" s="1"/>
  <c r="B91" i="1"/>
  <c r="K91" i="1" s="1"/>
  <c r="B92" i="1"/>
  <c r="K92" i="1" s="1"/>
  <c r="B93" i="1"/>
  <c r="K93" i="1" s="1"/>
  <c r="B94" i="1"/>
  <c r="K94" i="1" s="1"/>
  <c r="B95" i="1"/>
  <c r="K95" i="1" s="1"/>
  <c r="B96" i="1"/>
  <c r="K96" i="1" s="1"/>
  <c r="B97" i="1"/>
  <c r="K97" i="1" s="1"/>
  <c r="B98" i="1"/>
  <c r="K98" i="1" s="1"/>
  <c r="B99" i="1"/>
  <c r="K99" i="1" s="1"/>
  <c r="B100" i="1"/>
  <c r="K100" i="1" s="1"/>
  <c r="B101" i="1"/>
  <c r="K101" i="1" s="1"/>
  <c r="B102" i="1"/>
  <c r="K102" i="1" s="1"/>
  <c r="B103" i="1"/>
  <c r="K103" i="1" s="1"/>
  <c r="B9" i="1"/>
  <c r="K9" i="1" s="1"/>
  <c r="B10" i="1"/>
  <c r="K10" i="1" s="1"/>
  <c r="B11" i="1"/>
  <c r="K11" i="1" s="1"/>
  <c r="B12" i="1"/>
  <c r="K12" i="1" s="1"/>
  <c r="B13" i="1"/>
  <c r="K13" i="1" s="1"/>
  <c r="B14" i="1"/>
  <c r="K14" i="1" s="1"/>
  <c r="B15" i="1"/>
  <c r="K15" i="1" s="1"/>
  <c r="B16" i="1"/>
  <c r="K16" i="1" s="1"/>
  <c r="B17" i="1"/>
  <c r="K17" i="1" s="1"/>
  <c r="B18" i="1"/>
  <c r="K18" i="1" s="1"/>
  <c r="B19" i="1"/>
  <c r="K19" i="1" s="1"/>
  <c r="B20" i="1"/>
  <c r="K20" i="1" s="1"/>
  <c r="B21" i="1"/>
  <c r="K21" i="1" s="1"/>
  <c r="B22" i="1"/>
  <c r="K22" i="1" s="1"/>
  <c r="B23" i="1"/>
  <c r="K23" i="1" s="1"/>
  <c r="B24" i="1"/>
  <c r="K24" i="1" s="1"/>
  <c r="B25" i="1"/>
  <c r="K25" i="1" s="1"/>
  <c r="B26" i="1"/>
  <c r="K26" i="1" s="1"/>
  <c r="B27" i="1"/>
  <c r="K27" i="1" s="1"/>
  <c r="B28" i="1"/>
  <c r="K28" i="1" s="1"/>
  <c r="B29" i="1"/>
  <c r="K29" i="1" s="1"/>
  <c r="B30" i="1"/>
  <c r="K30" i="1" s="1"/>
  <c r="B31" i="1"/>
  <c r="K31" i="1" s="1"/>
  <c r="B32" i="1"/>
  <c r="K32" i="1" s="1"/>
  <c r="B33" i="1"/>
  <c r="K33" i="1" s="1"/>
  <c r="B34" i="1"/>
  <c r="K34" i="1" s="1"/>
  <c r="B35" i="1"/>
  <c r="K35" i="1" s="1"/>
  <c r="B36" i="1"/>
  <c r="K36" i="1" s="1"/>
  <c r="B37" i="1"/>
  <c r="K37" i="1" s="1"/>
  <c r="B38" i="1"/>
  <c r="K38" i="1" s="1"/>
  <c r="B39" i="1"/>
  <c r="K39" i="1" s="1"/>
  <c r="B40" i="1"/>
  <c r="K40" i="1" s="1"/>
  <c r="B41" i="1"/>
  <c r="K41" i="1" s="1"/>
  <c r="B42" i="1"/>
  <c r="K42" i="1" s="1"/>
  <c r="B43" i="1"/>
  <c r="K43" i="1" s="1"/>
  <c r="B44" i="1"/>
  <c r="K44" i="1" s="1"/>
  <c r="B45" i="1"/>
  <c r="K45" i="1" s="1"/>
  <c r="B8" i="1"/>
  <c r="K8" i="1" s="1"/>
  <c r="M105" i="1" l="1"/>
</calcChain>
</file>

<file path=xl/sharedStrings.xml><?xml version="1.0" encoding="utf-8"?>
<sst xmlns="http://schemas.openxmlformats.org/spreadsheetml/2006/main" count="41" uniqueCount="21">
  <si>
    <t>Time</t>
  </si>
  <si>
    <t>min</t>
  </si>
  <si>
    <t>hrs</t>
  </si>
  <si>
    <t>sec</t>
  </si>
  <si>
    <t>P1</t>
  </si>
  <si>
    <t>P2</t>
  </si>
  <si>
    <t>p3</t>
  </si>
  <si>
    <t>time</t>
  </si>
  <si>
    <t>Gross</t>
  </si>
  <si>
    <t>Gas</t>
  </si>
  <si>
    <t>Net</t>
  </si>
  <si>
    <t>W</t>
  </si>
  <si>
    <t>kWh</t>
  </si>
  <si>
    <t xml:space="preserve">This Excel is simulating a household with a PV system. It calculates pulse meter powers, gross electricity usage and gas usage. This data is used in the simulation mode of </t>
  </si>
  <si>
    <t>Energy</t>
  </si>
  <si>
    <t>Power</t>
  </si>
  <si>
    <t>Gas flow</t>
  </si>
  <si>
    <t>Power and gasflow simulation</t>
  </si>
  <si>
    <t>Yellow indicated data is transferred to and hard coded in the software</t>
  </si>
  <si>
    <t>m3</t>
  </si>
  <si>
    <t>liter/h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</si>
</sst>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hh:mm:ss;@"/>
    <numFmt numFmtId="165" formatCode="_-* #,##0.0_-;\-* #,##0.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2" fillId="0" borderId="0" xfId="0" applyFont="1" applyFill="1"/>
    <xf numFmtId="0" fontId="0" fillId="0" borderId="0" xfId="0" applyFill="1"/>
    <xf numFmtId="165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Pulse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data!$K$8:$K$103</c:f>
              <c:numCache>
                <c:formatCode>hh:mm:ss;@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data!$E$8:$E$103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377</c:v>
                </c:pt>
                <c:pt idx="26">
                  <c:v>740</c:v>
                </c:pt>
                <c:pt idx="27">
                  <c:v>1087</c:v>
                </c:pt>
                <c:pt idx="28">
                  <c:v>1420</c:v>
                </c:pt>
                <c:pt idx="29">
                  <c:v>1738</c:v>
                </c:pt>
                <c:pt idx="30">
                  <c:v>2041</c:v>
                </c:pt>
                <c:pt idx="31">
                  <c:v>2330</c:v>
                </c:pt>
                <c:pt idx="32">
                  <c:v>2604</c:v>
                </c:pt>
                <c:pt idx="33">
                  <c:v>2862</c:v>
                </c:pt>
                <c:pt idx="34">
                  <c:v>3107</c:v>
                </c:pt>
                <c:pt idx="35">
                  <c:v>3336</c:v>
                </c:pt>
                <c:pt idx="36">
                  <c:v>3550</c:v>
                </c:pt>
                <c:pt idx="37">
                  <c:v>3750</c:v>
                </c:pt>
                <c:pt idx="38">
                  <c:v>3935</c:v>
                </c:pt>
                <c:pt idx="39">
                  <c:v>4105</c:v>
                </c:pt>
                <c:pt idx="40">
                  <c:v>4260</c:v>
                </c:pt>
                <c:pt idx="41">
                  <c:v>4401</c:v>
                </c:pt>
                <c:pt idx="42">
                  <c:v>4527</c:v>
                </c:pt>
                <c:pt idx="43">
                  <c:v>4638</c:v>
                </c:pt>
                <c:pt idx="44">
                  <c:v>4734</c:v>
                </c:pt>
                <c:pt idx="45">
                  <c:v>4815</c:v>
                </c:pt>
                <c:pt idx="46">
                  <c:v>4882</c:v>
                </c:pt>
                <c:pt idx="47">
                  <c:v>4933</c:v>
                </c:pt>
                <c:pt idx="48">
                  <c:v>4970</c:v>
                </c:pt>
                <c:pt idx="49">
                  <c:v>4993</c:v>
                </c:pt>
                <c:pt idx="50">
                  <c:v>5000</c:v>
                </c:pt>
                <c:pt idx="51">
                  <c:v>4993</c:v>
                </c:pt>
                <c:pt idx="52">
                  <c:v>4970</c:v>
                </c:pt>
                <c:pt idx="53">
                  <c:v>4933</c:v>
                </c:pt>
                <c:pt idx="54">
                  <c:v>4882</c:v>
                </c:pt>
                <c:pt idx="55">
                  <c:v>4815</c:v>
                </c:pt>
                <c:pt idx="56">
                  <c:v>4734</c:v>
                </c:pt>
                <c:pt idx="57">
                  <c:v>4638</c:v>
                </c:pt>
                <c:pt idx="58">
                  <c:v>4527</c:v>
                </c:pt>
                <c:pt idx="59">
                  <c:v>4401</c:v>
                </c:pt>
                <c:pt idx="60">
                  <c:v>4260</c:v>
                </c:pt>
                <c:pt idx="61">
                  <c:v>4105</c:v>
                </c:pt>
                <c:pt idx="62">
                  <c:v>3935</c:v>
                </c:pt>
                <c:pt idx="63">
                  <c:v>3750</c:v>
                </c:pt>
                <c:pt idx="64">
                  <c:v>3550</c:v>
                </c:pt>
                <c:pt idx="65">
                  <c:v>3336</c:v>
                </c:pt>
                <c:pt idx="66">
                  <c:v>3107</c:v>
                </c:pt>
                <c:pt idx="67">
                  <c:v>2862</c:v>
                </c:pt>
                <c:pt idx="68">
                  <c:v>2604</c:v>
                </c:pt>
                <c:pt idx="69">
                  <c:v>2330</c:v>
                </c:pt>
                <c:pt idx="70">
                  <c:v>2041</c:v>
                </c:pt>
                <c:pt idx="71">
                  <c:v>1738</c:v>
                </c:pt>
                <c:pt idx="72">
                  <c:v>1420</c:v>
                </c:pt>
                <c:pt idx="73">
                  <c:v>1087</c:v>
                </c:pt>
                <c:pt idx="74">
                  <c:v>740</c:v>
                </c:pt>
                <c:pt idx="75">
                  <c:v>377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v>Pulse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data!$K$8:$K$103</c:f>
              <c:numCache>
                <c:formatCode>hh:mm:ss;@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data!$F$8:$F$103</c:f>
              <c:numCache>
                <c:formatCode>General</c:formatCode>
                <c:ptCount val="9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</c:numCache>
            </c:numRef>
          </c:yVal>
          <c:smooth val="0"/>
        </c:ser>
        <c:ser>
          <c:idx val="2"/>
          <c:order val="2"/>
          <c:tx>
            <c:v>Pulse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data!$K$8:$K$103</c:f>
              <c:numCache>
                <c:formatCode>hh:mm:ss;@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data!$G$8:$G$103</c:f>
              <c:numCache>
                <c:formatCode>General</c:formatCode>
                <c:ptCount val="96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</c:numCache>
            </c:numRef>
          </c:yVal>
          <c:smooth val="0"/>
        </c:ser>
        <c:ser>
          <c:idx val="3"/>
          <c:order val="3"/>
          <c:tx>
            <c:v>Gross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data!$K$8:$K$103</c:f>
              <c:numCache>
                <c:formatCode>hh:mm:ss;@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data!$H$8:$H$103</c:f>
              <c:numCache>
                <c:formatCode>General</c:formatCode>
                <c:ptCount val="96"/>
                <c:pt idx="0">
                  <c:v>600</c:v>
                </c:pt>
                <c:pt idx="1">
                  <c:v>600</c:v>
                </c:pt>
                <c:pt idx="2">
                  <c:v>700</c:v>
                </c:pt>
                <c:pt idx="3">
                  <c:v>700</c:v>
                </c:pt>
                <c:pt idx="4">
                  <c:v>600</c:v>
                </c:pt>
                <c:pt idx="5">
                  <c:v>600</c:v>
                </c:pt>
                <c:pt idx="6">
                  <c:v>700</c:v>
                </c:pt>
                <c:pt idx="7">
                  <c:v>700</c:v>
                </c:pt>
                <c:pt idx="8">
                  <c:v>600</c:v>
                </c:pt>
                <c:pt idx="9">
                  <c:v>600</c:v>
                </c:pt>
                <c:pt idx="10">
                  <c:v>700</c:v>
                </c:pt>
                <c:pt idx="11">
                  <c:v>700</c:v>
                </c:pt>
                <c:pt idx="12">
                  <c:v>600</c:v>
                </c:pt>
                <c:pt idx="13">
                  <c:v>600</c:v>
                </c:pt>
                <c:pt idx="14">
                  <c:v>700</c:v>
                </c:pt>
                <c:pt idx="15">
                  <c:v>700</c:v>
                </c:pt>
                <c:pt idx="16">
                  <c:v>600</c:v>
                </c:pt>
                <c:pt idx="17">
                  <c:v>600</c:v>
                </c:pt>
                <c:pt idx="18">
                  <c:v>700</c:v>
                </c:pt>
                <c:pt idx="19">
                  <c:v>700</c:v>
                </c:pt>
                <c:pt idx="20">
                  <c:v>600</c:v>
                </c:pt>
                <c:pt idx="21">
                  <c:v>600</c:v>
                </c:pt>
                <c:pt idx="22">
                  <c:v>700</c:v>
                </c:pt>
                <c:pt idx="23">
                  <c:v>700</c:v>
                </c:pt>
                <c:pt idx="24">
                  <c:v>600</c:v>
                </c:pt>
                <c:pt idx="25">
                  <c:v>600</c:v>
                </c:pt>
                <c:pt idx="26">
                  <c:v>700</c:v>
                </c:pt>
                <c:pt idx="27">
                  <c:v>700</c:v>
                </c:pt>
                <c:pt idx="28">
                  <c:v>800</c:v>
                </c:pt>
                <c:pt idx="29">
                  <c:v>800</c:v>
                </c:pt>
                <c:pt idx="30">
                  <c:v>900</c:v>
                </c:pt>
                <c:pt idx="31">
                  <c:v>900</c:v>
                </c:pt>
                <c:pt idx="32">
                  <c:v>800</c:v>
                </c:pt>
                <c:pt idx="33">
                  <c:v>800</c:v>
                </c:pt>
                <c:pt idx="34">
                  <c:v>900</c:v>
                </c:pt>
                <c:pt idx="35">
                  <c:v>900</c:v>
                </c:pt>
                <c:pt idx="36">
                  <c:v>600</c:v>
                </c:pt>
                <c:pt idx="37">
                  <c:v>600</c:v>
                </c:pt>
                <c:pt idx="38">
                  <c:v>700</c:v>
                </c:pt>
                <c:pt idx="39">
                  <c:v>700</c:v>
                </c:pt>
                <c:pt idx="40">
                  <c:v>600</c:v>
                </c:pt>
                <c:pt idx="41">
                  <c:v>600</c:v>
                </c:pt>
                <c:pt idx="42">
                  <c:v>700</c:v>
                </c:pt>
                <c:pt idx="43">
                  <c:v>700</c:v>
                </c:pt>
                <c:pt idx="44">
                  <c:v>600</c:v>
                </c:pt>
                <c:pt idx="45">
                  <c:v>600</c:v>
                </c:pt>
                <c:pt idx="46">
                  <c:v>700</c:v>
                </c:pt>
                <c:pt idx="47">
                  <c:v>700</c:v>
                </c:pt>
                <c:pt idx="48">
                  <c:v>600</c:v>
                </c:pt>
                <c:pt idx="49">
                  <c:v>600</c:v>
                </c:pt>
                <c:pt idx="50">
                  <c:v>700</c:v>
                </c:pt>
                <c:pt idx="51">
                  <c:v>700</c:v>
                </c:pt>
                <c:pt idx="52">
                  <c:v>600</c:v>
                </c:pt>
                <c:pt idx="53">
                  <c:v>600</c:v>
                </c:pt>
                <c:pt idx="54">
                  <c:v>700</c:v>
                </c:pt>
                <c:pt idx="55">
                  <c:v>700</c:v>
                </c:pt>
                <c:pt idx="56">
                  <c:v>600</c:v>
                </c:pt>
                <c:pt idx="57">
                  <c:v>600</c:v>
                </c:pt>
                <c:pt idx="58">
                  <c:v>700</c:v>
                </c:pt>
                <c:pt idx="59">
                  <c:v>700</c:v>
                </c:pt>
                <c:pt idx="60">
                  <c:v>600</c:v>
                </c:pt>
                <c:pt idx="61">
                  <c:v>600</c:v>
                </c:pt>
                <c:pt idx="62">
                  <c:v>700</c:v>
                </c:pt>
                <c:pt idx="63">
                  <c:v>700</c:v>
                </c:pt>
                <c:pt idx="64">
                  <c:v>600</c:v>
                </c:pt>
                <c:pt idx="65">
                  <c:v>600</c:v>
                </c:pt>
                <c:pt idx="66">
                  <c:v>700</c:v>
                </c:pt>
                <c:pt idx="67">
                  <c:v>700</c:v>
                </c:pt>
                <c:pt idx="68">
                  <c:v>3300</c:v>
                </c:pt>
                <c:pt idx="69">
                  <c:v>3300</c:v>
                </c:pt>
                <c:pt idx="70">
                  <c:v>3400</c:v>
                </c:pt>
                <c:pt idx="71">
                  <c:v>3400</c:v>
                </c:pt>
                <c:pt idx="72">
                  <c:v>800</c:v>
                </c:pt>
                <c:pt idx="73">
                  <c:v>800</c:v>
                </c:pt>
                <c:pt idx="74">
                  <c:v>900</c:v>
                </c:pt>
                <c:pt idx="75">
                  <c:v>900</c:v>
                </c:pt>
                <c:pt idx="76">
                  <c:v>800</c:v>
                </c:pt>
                <c:pt idx="77">
                  <c:v>800</c:v>
                </c:pt>
                <c:pt idx="78">
                  <c:v>900</c:v>
                </c:pt>
                <c:pt idx="79">
                  <c:v>900</c:v>
                </c:pt>
                <c:pt idx="80">
                  <c:v>800</c:v>
                </c:pt>
                <c:pt idx="81">
                  <c:v>800</c:v>
                </c:pt>
                <c:pt idx="82">
                  <c:v>900</c:v>
                </c:pt>
                <c:pt idx="83">
                  <c:v>900</c:v>
                </c:pt>
                <c:pt idx="84">
                  <c:v>800</c:v>
                </c:pt>
                <c:pt idx="85">
                  <c:v>800</c:v>
                </c:pt>
                <c:pt idx="86">
                  <c:v>900</c:v>
                </c:pt>
                <c:pt idx="87">
                  <c:v>900</c:v>
                </c:pt>
                <c:pt idx="88">
                  <c:v>800</c:v>
                </c:pt>
                <c:pt idx="89">
                  <c:v>800</c:v>
                </c:pt>
                <c:pt idx="90">
                  <c:v>900</c:v>
                </c:pt>
                <c:pt idx="91">
                  <c:v>900</c:v>
                </c:pt>
                <c:pt idx="92">
                  <c:v>600</c:v>
                </c:pt>
                <c:pt idx="93">
                  <c:v>600</c:v>
                </c:pt>
                <c:pt idx="94">
                  <c:v>700</c:v>
                </c:pt>
                <c:pt idx="95">
                  <c:v>700</c:v>
                </c:pt>
              </c:numCache>
            </c:numRef>
          </c:yVal>
          <c:smooth val="0"/>
        </c:ser>
        <c:ser>
          <c:idx val="4"/>
          <c:order val="4"/>
          <c:tx>
            <c:v>Net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data!$K$8:$K$103</c:f>
              <c:numCache>
                <c:formatCode>hh:mm:ss;@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5.2083333333333336E-2</c:v>
                </c:pt>
                <c:pt idx="6">
                  <c:v>6.25E-2</c:v>
                </c:pt>
                <c:pt idx="7">
                  <c:v>7.2916666666666671E-2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0.11458333333333333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0.14583333333333334</c:v>
                </c:pt>
                <c:pt idx="15">
                  <c:v>0.15625</c:v>
                </c:pt>
                <c:pt idx="16">
                  <c:v>0.16666666666666666</c:v>
                </c:pt>
                <c:pt idx="17">
                  <c:v>0.17708333333333334</c:v>
                </c:pt>
                <c:pt idx="18">
                  <c:v>0.1875</c:v>
                </c:pt>
                <c:pt idx="19">
                  <c:v>0.19791666666666666</c:v>
                </c:pt>
                <c:pt idx="20">
                  <c:v>0.20833333333333334</c:v>
                </c:pt>
                <c:pt idx="21">
                  <c:v>0.21875</c:v>
                </c:pt>
                <c:pt idx="22">
                  <c:v>0.22916666666666666</c:v>
                </c:pt>
                <c:pt idx="23">
                  <c:v>0.23958333333333334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0.51041666666666663</c:v>
                </c:pt>
                <c:pt idx="50">
                  <c:v>0.52083333333333337</c:v>
                </c:pt>
                <c:pt idx="51">
                  <c:v>0.53125</c:v>
                </c:pt>
                <c:pt idx="52">
                  <c:v>0.54166666666666663</c:v>
                </c:pt>
                <c:pt idx="53">
                  <c:v>0.55208333333333337</c:v>
                </c:pt>
                <c:pt idx="54">
                  <c:v>0.5625</c:v>
                </c:pt>
                <c:pt idx="55">
                  <c:v>0.57291666666666663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0.61458333333333337</c:v>
                </c:pt>
                <c:pt idx="60">
                  <c:v>0.625</c:v>
                </c:pt>
                <c:pt idx="61">
                  <c:v>0.63541666666666663</c:v>
                </c:pt>
                <c:pt idx="62">
                  <c:v>0.64583333333333337</c:v>
                </c:pt>
                <c:pt idx="63">
                  <c:v>0.65625</c:v>
                </c:pt>
                <c:pt idx="64">
                  <c:v>0.66666666666666663</c:v>
                </c:pt>
                <c:pt idx="65">
                  <c:v>0.67708333333333337</c:v>
                </c:pt>
                <c:pt idx="66">
                  <c:v>0.6875</c:v>
                </c:pt>
                <c:pt idx="67">
                  <c:v>0.69791666666666663</c:v>
                </c:pt>
                <c:pt idx="68">
                  <c:v>0.70833333333333337</c:v>
                </c:pt>
                <c:pt idx="69">
                  <c:v>0.71875</c:v>
                </c:pt>
                <c:pt idx="70">
                  <c:v>0.72916666666666663</c:v>
                </c:pt>
                <c:pt idx="71">
                  <c:v>0.73958333333333337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0.77083333333333337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0.80208333333333337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xVal>
          <c:yVal>
            <c:numRef>
              <c:f>data!$L$8:$L$103</c:f>
              <c:numCache>
                <c:formatCode>General</c:formatCode>
                <c:ptCount val="96"/>
                <c:pt idx="0">
                  <c:v>400</c:v>
                </c:pt>
                <c:pt idx="1">
                  <c:v>400</c:v>
                </c:pt>
                <c:pt idx="2">
                  <c:v>500</c:v>
                </c:pt>
                <c:pt idx="3">
                  <c:v>500</c:v>
                </c:pt>
                <c:pt idx="4">
                  <c:v>400</c:v>
                </c:pt>
                <c:pt idx="5">
                  <c:v>400</c:v>
                </c:pt>
                <c:pt idx="6">
                  <c:v>500</c:v>
                </c:pt>
                <c:pt idx="7">
                  <c:v>500</c:v>
                </c:pt>
                <c:pt idx="8">
                  <c:v>400</c:v>
                </c:pt>
                <c:pt idx="9">
                  <c:v>400</c:v>
                </c:pt>
                <c:pt idx="10">
                  <c:v>500</c:v>
                </c:pt>
                <c:pt idx="11">
                  <c:v>500</c:v>
                </c:pt>
                <c:pt idx="12">
                  <c:v>400</c:v>
                </c:pt>
                <c:pt idx="13">
                  <c:v>400</c:v>
                </c:pt>
                <c:pt idx="14">
                  <c:v>500</c:v>
                </c:pt>
                <c:pt idx="15">
                  <c:v>500</c:v>
                </c:pt>
                <c:pt idx="16">
                  <c:v>400</c:v>
                </c:pt>
                <c:pt idx="17">
                  <c:v>400</c:v>
                </c:pt>
                <c:pt idx="18">
                  <c:v>500</c:v>
                </c:pt>
                <c:pt idx="19">
                  <c:v>500</c:v>
                </c:pt>
                <c:pt idx="20">
                  <c:v>400</c:v>
                </c:pt>
                <c:pt idx="21">
                  <c:v>400</c:v>
                </c:pt>
                <c:pt idx="22">
                  <c:v>500</c:v>
                </c:pt>
                <c:pt idx="23">
                  <c:v>500</c:v>
                </c:pt>
                <c:pt idx="24">
                  <c:v>400</c:v>
                </c:pt>
                <c:pt idx="25">
                  <c:v>23</c:v>
                </c:pt>
                <c:pt idx="26">
                  <c:v>-240</c:v>
                </c:pt>
                <c:pt idx="27">
                  <c:v>-587</c:v>
                </c:pt>
                <c:pt idx="28">
                  <c:v>-820</c:v>
                </c:pt>
                <c:pt idx="29">
                  <c:v>-1138</c:v>
                </c:pt>
                <c:pt idx="30">
                  <c:v>-1341</c:v>
                </c:pt>
                <c:pt idx="31">
                  <c:v>-1630</c:v>
                </c:pt>
                <c:pt idx="32">
                  <c:v>-2004</c:v>
                </c:pt>
                <c:pt idx="33">
                  <c:v>-2262</c:v>
                </c:pt>
                <c:pt idx="34">
                  <c:v>-2407</c:v>
                </c:pt>
                <c:pt idx="35">
                  <c:v>-2636</c:v>
                </c:pt>
                <c:pt idx="36">
                  <c:v>-3150</c:v>
                </c:pt>
                <c:pt idx="37">
                  <c:v>-3350</c:v>
                </c:pt>
                <c:pt idx="38">
                  <c:v>-3435</c:v>
                </c:pt>
                <c:pt idx="39">
                  <c:v>-3605</c:v>
                </c:pt>
                <c:pt idx="40">
                  <c:v>-3860</c:v>
                </c:pt>
                <c:pt idx="41">
                  <c:v>-4001</c:v>
                </c:pt>
                <c:pt idx="42">
                  <c:v>-4027</c:v>
                </c:pt>
                <c:pt idx="43">
                  <c:v>-4138</c:v>
                </c:pt>
                <c:pt idx="44">
                  <c:v>-4334</c:v>
                </c:pt>
                <c:pt idx="45">
                  <c:v>-4415</c:v>
                </c:pt>
                <c:pt idx="46">
                  <c:v>-4382</c:v>
                </c:pt>
                <c:pt idx="47">
                  <c:v>-4433</c:v>
                </c:pt>
                <c:pt idx="48">
                  <c:v>-4570</c:v>
                </c:pt>
                <c:pt idx="49">
                  <c:v>-4593</c:v>
                </c:pt>
                <c:pt idx="50">
                  <c:v>-4500</c:v>
                </c:pt>
                <c:pt idx="51">
                  <c:v>-4493</c:v>
                </c:pt>
                <c:pt idx="52">
                  <c:v>-4570</c:v>
                </c:pt>
                <c:pt idx="53">
                  <c:v>-4533</c:v>
                </c:pt>
                <c:pt idx="54">
                  <c:v>-4382</c:v>
                </c:pt>
                <c:pt idx="55">
                  <c:v>-4315</c:v>
                </c:pt>
                <c:pt idx="56">
                  <c:v>-4334</c:v>
                </c:pt>
                <c:pt idx="57">
                  <c:v>-4238</c:v>
                </c:pt>
                <c:pt idx="58">
                  <c:v>-4027</c:v>
                </c:pt>
                <c:pt idx="59">
                  <c:v>-3901</c:v>
                </c:pt>
                <c:pt idx="60">
                  <c:v>-3860</c:v>
                </c:pt>
                <c:pt idx="61">
                  <c:v>-3705</c:v>
                </c:pt>
                <c:pt idx="62">
                  <c:v>-3435</c:v>
                </c:pt>
                <c:pt idx="63">
                  <c:v>-3250</c:v>
                </c:pt>
                <c:pt idx="64">
                  <c:v>-3150</c:v>
                </c:pt>
                <c:pt idx="65">
                  <c:v>-2936</c:v>
                </c:pt>
                <c:pt idx="66">
                  <c:v>-2607</c:v>
                </c:pt>
                <c:pt idx="67">
                  <c:v>-2362</c:v>
                </c:pt>
                <c:pt idx="68">
                  <c:v>496</c:v>
                </c:pt>
                <c:pt idx="69">
                  <c:v>770</c:v>
                </c:pt>
                <c:pt idx="70">
                  <c:v>1159</c:v>
                </c:pt>
                <c:pt idx="71">
                  <c:v>1462</c:v>
                </c:pt>
                <c:pt idx="72">
                  <c:v>-820</c:v>
                </c:pt>
                <c:pt idx="73">
                  <c:v>-487</c:v>
                </c:pt>
                <c:pt idx="74">
                  <c:v>-40</c:v>
                </c:pt>
                <c:pt idx="75">
                  <c:v>323</c:v>
                </c:pt>
                <c:pt idx="76">
                  <c:v>600</c:v>
                </c:pt>
                <c:pt idx="77">
                  <c:v>600</c:v>
                </c:pt>
                <c:pt idx="78">
                  <c:v>700</c:v>
                </c:pt>
                <c:pt idx="79">
                  <c:v>700</c:v>
                </c:pt>
                <c:pt idx="80">
                  <c:v>600</c:v>
                </c:pt>
                <c:pt idx="81">
                  <c:v>600</c:v>
                </c:pt>
                <c:pt idx="82">
                  <c:v>700</c:v>
                </c:pt>
                <c:pt idx="83">
                  <c:v>700</c:v>
                </c:pt>
                <c:pt idx="84">
                  <c:v>600</c:v>
                </c:pt>
                <c:pt idx="85">
                  <c:v>600</c:v>
                </c:pt>
                <c:pt idx="86">
                  <c:v>700</c:v>
                </c:pt>
                <c:pt idx="87">
                  <c:v>700</c:v>
                </c:pt>
                <c:pt idx="88">
                  <c:v>600</c:v>
                </c:pt>
                <c:pt idx="89">
                  <c:v>600</c:v>
                </c:pt>
                <c:pt idx="90">
                  <c:v>700</c:v>
                </c:pt>
                <c:pt idx="91">
                  <c:v>700</c:v>
                </c:pt>
                <c:pt idx="92">
                  <c:v>400</c:v>
                </c:pt>
                <c:pt idx="93">
                  <c:v>400</c:v>
                </c:pt>
                <c:pt idx="94">
                  <c:v>500</c:v>
                </c:pt>
                <c:pt idx="95">
                  <c:v>500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024576"/>
        <c:axId val="1444020224"/>
      </c:scatterChart>
      <c:valAx>
        <c:axId val="144402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h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44020224"/>
        <c:crosses val="autoZero"/>
        <c:crossBetween val="midCat"/>
      </c:valAx>
      <c:valAx>
        <c:axId val="144402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44024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6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6102" cy="607588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"/>
  <sheetViews>
    <sheetView tabSelected="1" workbookViewId="0">
      <pane xSplit="4" ySplit="7" topLeftCell="E8" activePane="bottomRight" state="frozen"/>
      <selection pane="topRight" activeCell="F1" sqref="F1"/>
      <selection pane="bottomLeft" activeCell="A8" sqref="A8"/>
      <selection pane="bottomRight" activeCell="N115" sqref="N115"/>
    </sheetView>
  </sheetViews>
  <sheetFormatPr defaultRowHeight="15" x14ac:dyDescent="0.25"/>
  <sheetData>
    <row r="1" spans="1:15" x14ac:dyDescent="0.25">
      <c r="A1" s="2" t="s">
        <v>17</v>
      </c>
    </row>
    <row r="2" spans="1:15" x14ac:dyDescent="0.25">
      <c r="A2" t="s">
        <v>13</v>
      </c>
    </row>
    <row r="3" spans="1:15" x14ac:dyDescent="0.25">
      <c r="A3" t="s">
        <v>18</v>
      </c>
    </row>
    <row r="5" spans="1:15" x14ac:dyDescent="0.25">
      <c r="A5" s="2" t="s">
        <v>0</v>
      </c>
      <c r="B5" s="2"/>
      <c r="C5" s="2"/>
      <c r="D5" s="2"/>
      <c r="E5" s="2" t="s">
        <v>15</v>
      </c>
      <c r="F5" s="2"/>
      <c r="G5" s="2"/>
      <c r="H5" s="2"/>
      <c r="I5" s="2" t="s">
        <v>16</v>
      </c>
      <c r="J5" s="2"/>
      <c r="K5" s="2" t="s">
        <v>0</v>
      </c>
      <c r="L5" s="2"/>
      <c r="M5" s="2" t="s">
        <v>14</v>
      </c>
      <c r="N5" s="2"/>
      <c r="O5" s="2"/>
    </row>
    <row r="6" spans="1:15" x14ac:dyDescent="0.25">
      <c r="A6" s="5" t="s">
        <v>1</v>
      </c>
      <c r="B6" s="3" t="s">
        <v>2</v>
      </c>
      <c r="C6" s="3" t="s">
        <v>1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8</v>
      </c>
      <c r="I6" s="3" t="s">
        <v>9</v>
      </c>
      <c r="J6" s="2"/>
      <c r="L6" s="2" t="s">
        <v>10</v>
      </c>
      <c r="M6" s="2">
        <v>1</v>
      </c>
      <c r="N6" s="2">
        <v>2</v>
      </c>
      <c r="O6" s="2">
        <v>3</v>
      </c>
    </row>
    <row r="7" spans="1:15" x14ac:dyDescent="0.25">
      <c r="A7" s="5"/>
      <c r="B7" s="3"/>
      <c r="C7" s="3"/>
      <c r="D7" s="3"/>
      <c r="E7" s="3" t="s">
        <v>11</v>
      </c>
      <c r="F7" s="3" t="s">
        <v>11</v>
      </c>
      <c r="G7" s="3" t="s">
        <v>11</v>
      </c>
      <c r="H7" s="3" t="s">
        <v>11</v>
      </c>
      <c r="I7" s="3" t="s">
        <v>20</v>
      </c>
      <c r="J7" s="2"/>
      <c r="K7" s="2" t="s">
        <v>7</v>
      </c>
      <c r="L7" s="2" t="s">
        <v>11</v>
      </c>
      <c r="M7" s="2" t="s">
        <v>12</v>
      </c>
      <c r="N7" s="2" t="s">
        <v>12</v>
      </c>
      <c r="O7" s="2" t="s">
        <v>12</v>
      </c>
    </row>
    <row r="8" spans="1:15" x14ac:dyDescent="0.25">
      <c r="A8" s="6">
        <v>0</v>
      </c>
      <c r="B8" s="4">
        <f>FLOOR(A8/60,1)</f>
        <v>0</v>
      </c>
      <c r="C8" s="4">
        <f>MOD(A8,60)</f>
        <v>0</v>
      </c>
      <c r="D8" s="4">
        <v>0</v>
      </c>
      <c r="E8" s="4">
        <v>0</v>
      </c>
      <c r="F8" s="4">
        <v>100</v>
      </c>
      <c r="G8" s="4">
        <v>200</v>
      </c>
      <c r="H8" s="4">
        <v>600</v>
      </c>
      <c r="I8" s="4">
        <v>500</v>
      </c>
      <c r="K8" s="1">
        <f>TIME(B8,C8,D8)</f>
        <v>0</v>
      </c>
      <c r="L8">
        <f>H8-E8-G8</f>
        <v>400</v>
      </c>
      <c r="M8">
        <f>E8/1000*0.25</f>
        <v>0</v>
      </c>
      <c r="N8">
        <f>F8/1000*0.25</f>
        <v>2.5000000000000001E-2</v>
      </c>
      <c r="O8">
        <f>G8/1000*0.25</f>
        <v>0.05</v>
      </c>
    </row>
    <row r="9" spans="1:15" x14ac:dyDescent="0.25">
      <c r="A9" s="6">
        <v>15</v>
      </c>
      <c r="B9" s="4">
        <f t="shared" ref="B9:B72" si="0">FLOOR(A9/60,1)</f>
        <v>0</v>
      </c>
      <c r="C9" s="4">
        <f t="shared" ref="C9:C72" si="1">MOD(A9,60)</f>
        <v>15</v>
      </c>
      <c r="D9" s="4">
        <v>0</v>
      </c>
      <c r="E9" s="4">
        <v>0</v>
      </c>
      <c r="F9" s="4">
        <v>100</v>
      </c>
      <c r="G9" s="4">
        <v>200</v>
      </c>
      <c r="H9" s="4">
        <v>600</v>
      </c>
      <c r="I9" s="4">
        <v>500</v>
      </c>
      <c r="K9" s="1">
        <f>TIME(B9,C9,D9)</f>
        <v>1.0416666666666666E-2</v>
      </c>
      <c r="L9">
        <f t="shared" ref="L9:L72" si="2">H9-E9-G9</f>
        <v>400</v>
      </c>
      <c r="M9">
        <f t="shared" ref="M9:O72" si="3">E9/1000*0.25</f>
        <v>0</v>
      </c>
      <c r="N9">
        <f t="shared" si="3"/>
        <v>2.5000000000000001E-2</v>
      </c>
      <c r="O9">
        <f t="shared" si="3"/>
        <v>0.05</v>
      </c>
    </row>
    <row r="10" spans="1:15" x14ac:dyDescent="0.25">
      <c r="A10" s="6">
        <v>30</v>
      </c>
      <c r="B10" s="4">
        <f t="shared" si="0"/>
        <v>0</v>
      </c>
      <c r="C10" s="4">
        <f t="shared" si="1"/>
        <v>30</v>
      </c>
      <c r="D10" s="4">
        <v>0</v>
      </c>
      <c r="E10" s="4">
        <v>0</v>
      </c>
      <c r="F10" s="4">
        <v>100</v>
      </c>
      <c r="G10" s="4">
        <v>200</v>
      </c>
      <c r="H10" s="4">
        <v>700</v>
      </c>
      <c r="I10" s="4">
        <v>500</v>
      </c>
      <c r="K10" s="1">
        <f>TIME(B10,C10,D10)</f>
        <v>2.0833333333333332E-2</v>
      </c>
      <c r="L10">
        <f t="shared" si="2"/>
        <v>500</v>
      </c>
      <c r="M10">
        <f t="shared" si="3"/>
        <v>0</v>
      </c>
      <c r="N10">
        <f t="shared" si="3"/>
        <v>2.5000000000000001E-2</v>
      </c>
      <c r="O10">
        <f t="shared" si="3"/>
        <v>0.05</v>
      </c>
    </row>
    <row r="11" spans="1:15" x14ac:dyDescent="0.25">
      <c r="A11" s="6">
        <v>45</v>
      </c>
      <c r="B11" s="4">
        <f t="shared" si="0"/>
        <v>0</v>
      </c>
      <c r="C11" s="4">
        <f t="shared" si="1"/>
        <v>45</v>
      </c>
      <c r="D11" s="4">
        <v>0</v>
      </c>
      <c r="E11" s="4">
        <v>0</v>
      </c>
      <c r="F11" s="4">
        <v>100</v>
      </c>
      <c r="G11" s="4">
        <v>200</v>
      </c>
      <c r="H11" s="4">
        <v>700</v>
      </c>
      <c r="I11" s="4">
        <v>500</v>
      </c>
      <c r="K11" s="1">
        <f>TIME(B11,C11,D11)</f>
        <v>3.125E-2</v>
      </c>
      <c r="L11">
        <f t="shared" si="2"/>
        <v>500</v>
      </c>
      <c r="M11">
        <f t="shared" si="3"/>
        <v>0</v>
      </c>
      <c r="N11">
        <f t="shared" si="3"/>
        <v>2.5000000000000001E-2</v>
      </c>
      <c r="O11">
        <f t="shared" si="3"/>
        <v>0.05</v>
      </c>
    </row>
    <row r="12" spans="1:15" x14ac:dyDescent="0.25">
      <c r="A12" s="6">
        <v>60</v>
      </c>
      <c r="B12" s="4">
        <f t="shared" si="0"/>
        <v>1</v>
      </c>
      <c r="C12" s="4">
        <f t="shared" si="1"/>
        <v>0</v>
      </c>
      <c r="D12" s="4">
        <v>0</v>
      </c>
      <c r="E12" s="4">
        <v>0</v>
      </c>
      <c r="F12" s="4">
        <v>100</v>
      </c>
      <c r="G12" s="4">
        <v>200</v>
      </c>
      <c r="H12" s="4">
        <v>600</v>
      </c>
      <c r="I12" s="4">
        <v>500</v>
      </c>
      <c r="K12" s="1">
        <f>TIME(B12,C12,D12)</f>
        <v>4.1666666666666664E-2</v>
      </c>
      <c r="L12">
        <f t="shared" si="2"/>
        <v>400</v>
      </c>
      <c r="M12">
        <f t="shared" si="3"/>
        <v>0</v>
      </c>
      <c r="N12">
        <f t="shared" si="3"/>
        <v>2.5000000000000001E-2</v>
      </c>
      <c r="O12">
        <f t="shared" si="3"/>
        <v>0.05</v>
      </c>
    </row>
    <row r="13" spans="1:15" x14ac:dyDescent="0.25">
      <c r="A13" s="6">
        <v>75</v>
      </c>
      <c r="B13" s="4">
        <f t="shared" si="0"/>
        <v>1</v>
      </c>
      <c r="C13" s="4">
        <f t="shared" si="1"/>
        <v>15</v>
      </c>
      <c r="D13" s="4">
        <v>0</v>
      </c>
      <c r="E13" s="4">
        <v>0</v>
      </c>
      <c r="F13" s="4">
        <v>100</v>
      </c>
      <c r="G13" s="4">
        <v>200</v>
      </c>
      <c r="H13" s="4">
        <v>600</v>
      </c>
      <c r="I13" s="4">
        <v>500</v>
      </c>
      <c r="K13" s="1">
        <f>TIME(B13,C13,D13)</f>
        <v>5.2083333333333336E-2</v>
      </c>
      <c r="L13">
        <f t="shared" si="2"/>
        <v>400</v>
      </c>
      <c r="M13">
        <f t="shared" si="3"/>
        <v>0</v>
      </c>
      <c r="N13">
        <f t="shared" si="3"/>
        <v>2.5000000000000001E-2</v>
      </c>
      <c r="O13">
        <f t="shared" si="3"/>
        <v>0.05</v>
      </c>
    </row>
    <row r="14" spans="1:15" x14ac:dyDescent="0.25">
      <c r="A14" s="6">
        <v>90</v>
      </c>
      <c r="B14" s="4">
        <f t="shared" si="0"/>
        <v>1</v>
      </c>
      <c r="C14" s="4">
        <f t="shared" si="1"/>
        <v>30</v>
      </c>
      <c r="D14" s="4">
        <v>0</v>
      </c>
      <c r="E14" s="4">
        <v>0</v>
      </c>
      <c r="F14" s="4">
        <v>100</v>
      </c>
      <c r="G14" s="4">
        <v>200</v>
      </c>
      <c r="H14" s="4">
        <v>700</v>
      </c>
      <c r="I14" s="4">
        <v>500</v>
      </c>
      <c r="K14" s="1">
        <f>TIME(B14,C14,D14)</f>
        <v>6.25E-2</v>
      </c>
      <c r="L14">
        <f t="shared" si="2"/>
        <v>500</v>
      </c>
      <c r="M14">
        <f t="shared" si="3"/>
        <v>0</v>
      </c>
      <c r="N14">
        <f t="shared" si="3"/>
        <v>2.5000000000000001E-2</v>
      </c>
      <c r="O14">
        <f t="shared" si="3"/>
        <v>0.05</v>
      </c>
    </row>
    <row r="15" spans="1:15" x14ac:dyDescent="0.25">
      <c r="A15" s="6">
        <v>105</v>
      </c>
      <c r="B15" s="4">
        <f t="shared" si="0"/>
        <v>1</v>
      </c>
      <c r="C15" s="4">
        <f t="shared" si="1"/>
        <v>45</v>
      </c>
      <c r="D15" s="4">
        <v>0</v>
      </c>
      <c r="E15" s="4">
        <v>0</v>
      </c>
      <c r="F15" s="4">
        <v>100</v>
      </c>
      <c r="G15" s="4">
        <v>200</v>
      </c>
      <c r="H15" s="4">
        <v>700</v>
      </c>
      <c r="I15" s="4">
        <v>500</v>
      </c>
      <c r="K15" s="1">
        <f>TIME(B15,C15,D15)</f>
        <v>7.2916666666666671E-2</v>
      </c>
      <c r="L15">
        <f t="shared" si="2"/>
        <v>500</v>
      </c>
      <c r="M15">
        <f t="shared" si="3"/>
        <v>0</v>
      </c>
      <c r="N15">
        <f t="shared" si="3"/>
        <v>2.5000000000000001E-2</v>
      </c>
      <c r="O15">
        <f t="shared" si="3"/>
        <v>0.05</v>
      </c>
    </row>
    <row r="16" spans="1:15" x14ac:dyDescent="0.25">
      <c r="A16" s="6">
        <v>120</v>
      </c>
      <c r="B16" s="4">
        <f t="shared" si="0"/>
        <v>2</v>
      </c>
      <c r="C16" s="4">
        <f t="shared" si="1"/>
        <v>0</v>
      </c>
      <c r="D16" s="4">
        <v>0</v>
      </c>
      <c r="E16" s="4">
        <v>0</v>
      </c>
      <c r="F16" s="4">
        <v>100</v>
      </c>
      <c r="G16" s="4">
        <v>200</v>
      </c>
      <c r="H16" s="4">
        <v>600</v>
      </c>
      <c r="I16" s="4">
        <v>500</v>
      </c>
      <c r="K16" s="1">
        <f>TIME(B16,C16,D16)</f>
        <v>8.3333333333333329E-2</v>
      </c>
      <c r="L16">
        <f t="shared" si="2"/>
        <v>400</v>
      </c>
      <c r="M16">
        <f t="shared" si="3"/>
        <v>0</v>
      </c>
      <c r="N16">
        <f t="shared" si="3"/>
        <v>2.5000000000000001E-2</v>
      </c>
      <c r="O16">
        <f t="shared" si="3"/>
        <v>0.05</v>
      </c>
    </row>
    <row r="17" spans="1:15" x14ac:dyDescent="0.25">
      <c r="A17" s="6">
        <v>135</v>
      </c>
      <c r="B17" s="4">
        <f t="shared" si="0"/>
        <v>2</v>
      </c>
      <c r="C17" s="4">
        <f t="shared" si="1"/>
        <v>15</v>
      </c>
      <c r="D17" s="4">
        <v>0</v>
      </c>
      <c r="E17" s="4">
        <v>0</v>
      </c>
      <c r="F17" s="4">
        <v>100</v>
      </c>
      <c r="G17" s="4">
        <v>200</v>
      </c>
      <c r="H17" s="4">
        <v>600</v>
      </c>
      <c r="I17" s="4">
        <v>500</v>
      </c>
      <c r="K17" s="1">
        <f>TIME(B17,C17,D17)</f>
        <v>9.375E-2</v>
      </c>
      <c r="L17">
        <f t="shared" si="2"/>
        <v>400</v>
      </c>
      <c r="M17">
        <f t="shared" si="3"/>
        <v>0</v>
      </c>
      <c r="N17">
        <f t="shared" si="3"/>
        <v>2.5000000000000001E-2</v>
      </c>
      <c r="O17">
        <f t="shared" si="3"/>
        <v>0.05</v>
      </c>
    </row>
    <row r="18" spans="1:15" x14ac:dyDescent="0.25">
      <c r="A18" s="6">
        <v>150</v>
      </c>
      <c r="B18" s="4">
        <f t="shared" si="0"/>
        <v>2</v>
      </c>
      <c r="C18" s="4">
        <f t="shared" si="1"/>
        <v>30</v>
      </c>
      <c r="D18" s="4">
        <v>0</v>
      </c>
      <c r="E18" s="4">
        <v>0</v>
      </c>
      <c r="F18" s="4">
        <v>100</v>
      </c>
      <c r="G18" s="4">
        <v>200</v>
      </c>
      <c r="H18" s="4">
        <v>700</v>
      </c>
      <c r="I18" s="4">
        <v>500</v>
      </c>
      <c r="K18" s="1">
        <f>TIME(B18,C18,D18)</f>
        <v>0.10416666666666667</v>
      </c>
      <c r="L18">
        <f t="shared" si="2"/>
        <v>500</v>
      </c>
      <c r="M18">
        <f t="shared" si="3"/>
        <v>0</v>
      </c>
      <c r="N18">
        <f t="shared" si="3"/>
        <v>2.5000000000000001E-2</v>
      </c>
      <c r="O18">
        <f t="shared" si="3"/>
        <v>0.05</v>
      </c>
    </row>
    <row r="19" spans="1:15" x14ac:dyDescent="0.25">
      <c r="A19" s="6">
        <v>165</v>
      </c>
      <c r="B19" s="4">
        <f t="shared" si="0"/>
        <v>2</v>
      </c>
      <c r="C19" s="4">
        <f t="shared" si="1"/>
        <v>45</v>
      </c>
      <c r="D19" s="4">
        <v>0</v>
      </c>
      <c r="E19" s="4">
        <v>0</v>
      </c>
      <c r="F19" s="4">
        <v>100</v>
      </c>
      <c r="G19" s="4">
        <v>200</v>
      </c>
      <c r="H19" s="4">
        <v>700</v>
      </c>
      <c r="I19" s="4">
        <v>500</v>
      </c>
      <c r="K19" s="1">
        <f>TIME(B19,C19,D19)</f>
        <v>0.11458333333333333</v>
      </c>
      <c r="L19">
        <f t="shared" si="2"/>
        <v>500</v>
      </c>
      <c r="M19">
        <f t="shared" si="3"/>
        <v>0</v>
      </c>
      <c r="N19">
        <f t="shared" si="3"/>
        <v>2.5000000000000001E-2</v>
      </c>
      <c r="O19">
        <f t="shared" si="3"/>
        <v>0.05</v>
      </c>
    </row>
    <row r="20" spans="1:15" x14ac:dyDescent="0.25">
      <c r="A20" s="6">
        <v>180</v>
      </c>
      <c r="B20" s="4">
        <f t="shared" si="0"/>
        <v>3</v>
      </c>
      <c r="C20" s="4">
        <f t="shared" si="1"/>
        <v>0</v>
      </c>
      <c r="D20" s="4">
        <v>0</v>
      </c>
      <c r="E20" s="4">
        <v>0</v>
      </c>
      <c r="F20" s="4">
        <v>100</v>
      </c>
      <c r="G20" s="4">
        <v>200</v>
      </c>
      <c r="H20" s="4">
        <v>600</v>
      </c>
      <c r="I20" s="4">
        <v>500</v>
      </c>
      <c r="K20" s="1">
        <f>TIME(B20,C20,D20)</f>
        <v>0.125</v>
      </c>
      <c r="L20">
        <f t="shared" si="2"/>
        <v>400</v>
      </c>
      <c r="M20">
        <f t="shared" si="3"/>
        <v>0</v>
      </c>
      <c r="N20">
        <f t="shared" si="3"/>
        <v>2.5000000000000001E-2</v>
      </c>
      <c r="O20">
        <f t="shared" si="3"/>
        <v>0.05</v>
      </c>
    </row>
    <row r="21" spans="1:15" x14ac:dyDescent="0.25">
      <c r="A21" s="6">
        <v>195</v>
      </c>
      <c r="B21" s="4">
        <f t="shared" si="0"/>
        <v>3</v>
      </c>
      <c r="C21" s="4">
        <f t="shared" si="1"/>
        <v>15</v>
      </c>
      <c r="D21" s="4">
        <v>0</v>
      </c>
      <c r="E21" s="4">
        <v>0</v>
      </c>
      <c r="F21" s="4">
        <v>100</v>
      </c>
      <c r="G21" s="4">
        <v>200</v>
      </c>
      <c r="H21" s="4">
        <v>600</v>
      </c>
      <c r="I21" s="4">
        <v>500</v>
      </c>
      <c r="K21" s="1">
        <f>TIME(B21,C21,D21)</f>
        <v>0.13541666666666666</v>
      </c>
      <c r="L21">
        <f t="shared" si="2"/>
        <v>400</v>
      </c>
      <c r="M21">
        <f t="shared" si="3"/>
        <v>0</v>
      </c>
      <c r="N21">
        <f t="shared" si="3"/>
        <v>2.5000000000000001E-2</v>
      </c>
      <c r="O21">
        <f t="shared" si="3"/>
        <v>0.05</v>
      </c>
    </row>
    <row r="22" spans="1:15" x14ac:dyDescent="0.25">
      <c r="A22" s="6">
        <v>210</v>
      </c>
      <c r="B22" s="4">
        <f t="shared" si="0"/>
        <v>3</v>
      </c>
      <c r="C22" s="4">
        <f t="shared" si="1"/>
        <v>30</v>
      </c>
      <c r="D22" s="4">
        <v>0</v>
      </c>
      <c r="E22" s="4">
        <v>0</v>
      </c>
      <c r="F22" s="4">
        <v>100</v>
      </c>
      <c r="G22" s="4">
        <v>200</v>
      </c>
      <c r="H22" s="4">
        <v>700</v>
      </c>
      <c r="I22" s="4">
        <v>500</v>
      </c>
      <c r="K22" s="1">
        <f>TIME(B22,C22,D22)</f>
        <v>0.14583333333333334</v>
      </c>
      <c r="L22">
        <f t="shared" si="2"/>
        <v>500</v>
      </c>
      <c r="M22">
        <f t="shared" si="3"/>
        <v>0</v>
      </c>
      <c r="N22">
        <f t="shared" si="3"/>
        <v>2.5000000000000001E-2</v>
      </c>
      <c r="O22">
        <f t="shared" si="3"/>
        <v>0.05</v>
      </c>
    </row>
    <row r="23" spans="1:15" x14ac:dyDescent="0.25">
      <c r="A23" s="6">
        <v>225</v>
      </c>
      <c r="B23" s="4">
        <f t="shared" si="0"/>
        <v>3</v>
      </c>
      <c r="C23" s="4">
        <f t="shared" si="1"/>
        <v>45</v>
      </c>
      <c r="D23" s="4">
        <v>0</v>
      </c>
      <c r="E23" s="4">
        <v>0</v>
      </c>
      <c r="F23" s="4">
        <v>100</v>
      </c>
      <c r="G23" s="4">
        <v>200</v>
      </c>
      <c r="H23" s="4">
        <v>700</v>
      </c>
      <c r="I23" s="4">
        <v>500</v>
      </c>
      <c r="K23" s="1">
        <f>TIME(B23,C23,D23)</f>
        <v>0.15625</v>
      </c>
      <c r="L23">
        <f t="shared" si="2"/>
        <v>500</v>
      </c>
      <c r="M23">
        <f t="shared" si="3"/>
        <v>0</v>
      </c>
      <c r="N23">
        <f t="shared" si="3"/>
        <v>2.5000000000000001E-2</v>
      </c>
      <c r="O23">
        <f t="shared" si="3"/>
        <v>0.05</v>
      </c>
    </row>
    <row r="24" spans="1:15" x14ac:dyDescent="0.25">
      <c r="A24" s="6">
        <v>240</v>
      </c>
      <c r="B24" s="4">
        <f t="shared" si="0"/>
        <v>4</v>
      </c>
      <c r="C24" s="4">
        <f t="shared" si="1"/>
        <v>0</v>
      </c>
      <c r="D24" s="4">
        <v>0</v>
      </c>
      <c r="E24" s="4">
        <v>0</v>
      </c>
      <c r="F24" s="4">
        <v>100</v>
      </c>
      <c r="G24" s="4">
        <v>200</v>
      </c>
      <c r="H24" s="4">
        <v>600</v>
      </c>
      <c r="I24" s="4">
        <v>500</v>
      </c>
      <c r="K24" s="1">
        <f>TIME(B24,C24,D24)</f>
        <v>0.16666666666666666</v>
      </c>
      <c r="L24">
        <f t="shared" si="2"/>
        <v>400</v>
      </c>
      <c r="M24">
        <f t="shared" si="3"/>
        <v>0</v>
      </c>
      <c r="N24">
        <f t="shared" si="3"/>
        <v>2.5000000000000001E-2</v>
      </c>
      <c r="O24">
        <f t="shared" si="3"/>
        <v>0.05</v>
      </c>
    </row>
    <row r="25" spans="1:15" x14ac:dyDescent="0.25">
      <c r="A25" s="6">
        <v>255</v>
      </c>
      <c r="B25" s="4">
        <f t="shared" si="0"/>
        <v>4</v>
      </c>
      <c r="C25" s="4">
        <f t="shared" si="1"/>
        <v>15</v>
      </c>
      <c r="D25" s="4">
        <v>0</v>
      </c>
      <c r="E25" s="4">
        <v>0</v>
      </c>
      <c r="F25" s="4">
        <v>100</v>
      </c>
      <c r="G25" s="4">
        <v>200</v>
      </c>
      <c r="H25" s="4">
        <v>600</v>
      </c>
      <c r="I25" s="4">
        <v>500</v>
      </c>
      <c r="K25" s="1">
        <f>TIME(B25,C25,D25)</f>
        <v>0.17708333333333334</v>
      </c>
      <c r="L25">
        <f t="shared" si="2"/>
        <v>400</v>
      </c>
      <c r="M25">
        <f t="shared" si="3"/>
        <v>0</v>
      </c>
      <c r="N25">
        <f t="shared" si="3"/>
        <v>2.5000000000000001E-2</v>
      </c>
      <c r="O25">
        <f t="shared" si="3"/>
        <v>0.05</v>
      </c>
    </row>
    <row r="26" spans="1:15" x14ac:dyDescent="0.25">
      <c r="A26" s="6">
        <v>270</v>
      </c>
      <c r="B26" s="4">
        <f t="shared" si="0"/>
        <v>4</v>
      </c>
      <c r="C26" s="4">
        <f t="shared" si="1"/>
        <v>30</v>
      </c>
      <c r="D26" s="4">
        <v>0</v>
      </c>
      <c r="E26" s="4">
        <v>0</v>
      </c>
      <c r="F26" s="4">
        <v>100</v>
      </c>
      <c r="G26" s="4">
        <v>200</v>
      </c>
      <c r="H26" s="4">
        <v>700</v>
      </c>
      <c r="I26" s="4">
        <v>500</v>
      </c>
      <c r="K26" s="1">
        <f>TIME(B26,C26,D26)</f>
        <v>0.1875</v>
      </c>
      <c r="L26">
        <f t="shared" si="2"/>
        <v>500</v>
      </c>
      <c r="M26">
        <f t="shared" si="3"/>
        <v>0</v>
      </c>
      <c r="N26">
        <f t="shared" si="3"/>
        <v>2.5000000000000001E-2</v>
      </c>
      <c r="O26">
        <f t="shared" si="3"/>
        <v>0.05</v>
      </c>
    </row>
    <row r="27" spans="1:15" x14ac:dyDescent="0.25">
      <c r="A27" s="6">
        <v>285</v>
      </c>
      <c r="B27" s="4">
        <f t="shared" si="0"/>
        <v>4</v>
      </c>
      <c r="C27" s="4">
        <f t="shared" si="1"/>
        <v>45</v>
      </c>
      <c r="D27" s="4">
        <v>0</v>
      </c>
      <c r="E27" s="4">
        <v>0</v>
      </c>
      <c r="F27" s="4">
        <v>100</v>
      </c>
      <c r="G27" s="4">
        <v>200</v>
      </c>
      <c r="H27" s="4">
        <v>700</v>
      </c>
      <c r="I27" s="4">
        <v>500</v>
      </c>
      <c r="K27" s="1">
        <f>TIME(B27,C27,D27)</f>
        <v>0.19791666666666666</v>
      </c>
      <c r="L27">
        <f t="shared" si="2"/>
        <v>500</v>
      </c>
      <c r="M27">
        <f t="shared" si="3"/>
        <v>0</v>
      </c>
      <c r="N27">
        <f t="shared" si="3"/>
        <v>2.5000000000000001E-2</v>
      </c>
      <c r="O27">
        <f t="shared" si="3"/>
        <v>0.05</v>
      </c>
    </row>
    <row r="28" spans="1:15" x14ac:dyDescent="0.25">
      <c r="A28" s="6">
        <v>300</v>
      </c>
      <c r="B28" s="4">
        <f t="shared" si="0"/>
        <v>5</v>
      </c>
      <c r="C28" s="4">
        <f t="shared" si="1"/>
        <v>0</v>
      </c>
      <c r="D28" s="4">
        <v>0</v>
      </c>
      <c r="E28" s="4">
        <v>0</v>
      </c>
      <c r="F28" s="4">
        <v>100</v>
      </c>
      <c r="G28" s="4">
        <v>200</v>
      </c>
      <c r="H28" s="4">
        <v>600</v>
      </c>
      <c r="I28" s="4">
        <v>500</v>
      </c>
      <c r="K28" s="1">
        <f>TIME(B28,C28,D28)</f>
        <v>0.20833333333333334</v>
      </c>
      <c r="L28">
        <f t="shared" si="2"/>
        <v>400</v>
      </c>
      <c r="M28">
        <f t="shared" si="3"/>
        <v>0</v>
      </c>
      <c r="N28">
        <f t="shared" si="3"/>
        <v>2.5000000000000001E-2</v>
      </c>
      <c r="O28">
        <f t="shared" si="3"/>
        <v>0.05</v>
      </c>
    </row>
    <row r="29" spans="1:15" x14ac:dyDescent="0.25">
      <c r="A29" s="6">
        <v>315</v>
      </c>
      <c r="B29" s="4">
        <f t="shared" si="0"/>
        <v>5</v>
      </c>
      <c r="C29" s="4">
        <f t="shared" si="1"/>
        <v>15</v>
      </c>
      <c r="D29" s="4">
        <v>0</v>
      </c>
      <c r="E29" s="4">
        <v>0</v>
      </c>
      <c r="F29" s="4">
        <v>100</v>
      </c>
      <c r="G29" s="4">
        <v>200</v>
      </c>
      <c r="H29" s="4">
        <v>600</v>
      </c>
      <c r="I29" s="4">
        <v>500</v>
      </c>
      <c r="K29" s="1">
        <f>TIME(B29,C29,D29)</f>
        <v>0.21875</v>
      </c>
      <c r="L29">
        <f t="shared" si="2"/>
        <v>400</v>
      </c>
      <c r="M29">
        <f t="shared" si="3"/>
        <v>0</v>
      </c>
      <c r="N29">
        <f t="shared" si="3"/>
        <v>2.5000000000000001E-2</v>
      </c>
      <c r="O29">
        <f t="shared" si="3"/>
        <v>0.05</v>
      </c>
    </row>
    <row r="30" spans="1:15" x14ac:dyDescent="0.25">
      <c r="A30" s="6">
        <v>330</v>
      </c>
      <c r="B30" s="4">
        <f t="shared" si="0"/>
        <v>5</v>
      </c>
      <c r="C30" s="4">
        <f t="shared" si="1"/>
        <v>30</v>
      </c>
      <c r="D30" s="4">
        <v>0</v>
      </c>
      <c r="E30" s="4">
        <v>0</v>
      </c>
      <c r="F30" s="4">
        <v>100</v>
      </c>
      <c r="G30" s="4">
        <v>200</v>
      </c>
      <c r="H30" s="4">
        <v>700</v>
      </c>
      <c r="I30" s="4">
        <v>500</v>
      </c>
      <c r="K30" s="1">
        <f>TIME(B30,C30,D30)</f>
        <v>0.22916666666666666</v>
      </c>
      <c r="L30">
        <f t="shared" si="2"/>
        <v>500</v>
      </c>
      <c r="M30">
        <f t="shared" si="3"/>
        <v>0</v>
      </c>
      <c r="N30">
        <f t="shared" si="3"/>
        <v>2.5000000000000001E-2</v>
      </c>
      <c r="O30">
        <f t="shared" si="3"/>
        <v>0.05</v>
      </c>
    </row>
    <row r="31" spans="1:15" x14ac:dyDescent="0.25">
      <c r="A31" s="6">
        <v>345</v>
      </c>
      <c r="B31" s="4">
        <f t="shared" si="0"/>
        <v>5</v>
      </c>
      <c r="C31" s="4">
        <f t="shared" si="1"/>
        <v>45</v>
      </c>
      <c r="D31" s="4">
        <v>0</v>
      </c>
      <c r="E31" s="4">
        <v>0</v>
      </c>
      <c r="F31" s="4">
        <v>100</v>
      </c>
      <c r="G31" s="4">
        <v>200</v>
      </c>
      <c r="H31" s="4">
        <v>700</v>
      </c>
      <c r="I31" s="4">
        <v>500</v>
      </c>
      <c r="K31" s="1">
        <f>TIME(B31,C31,D31)</f>
        <v>0.23958333333333334</v>
      </c>
      <c r="L31">
        <f t="shared" si="2"/>
        <v>500</v>
      </c>
      <c r="M31">
        <f t="shared" si="3"/>
        <v>0</v>
      </c>
      <c r="N31">
        <f t="shared" si="3"/>
        <v>2.5000000000000001E-2</v>
      </c>
      <c r="O31">
        <f t="shared" si="3"/>
        <v>0.05</v>
      </c>
    </row>
    <row r="32" spans="1:15" x14ac:dyDescent="0.25">
      <c r="A32" s="6">
        <v>360</v>
      </c>
      <c r="B32" s="4">
        <f t="shared" si="0"/>
        <v>6</v>
      </c>
      <c r="C32" s="4">
        <f t="shared" si="1"/>
        <v>0</v>
      </c>
      <c r="D32" s="4">
        <v>0</v>
      </c>
      <c r="E32" s="4">
        <f>ROUND((-((A32-$A$58)^2)+152100)/152100*5000, 0)</f>
        <v>0</v>
      </c>
      <c r="F32" s="4">
        <v>100</v>
      </c>
      <c r="G32" s="4">
        <v>200</v>
      </c>
      <c r="H32" s="4">
        <v>600</v>
      </c>
      <c r="I32" s="4">
        <v>500</v>
      </c>
      <c r="K32" s="1">
        <f>TIME(B32,C32,D32)</f>
        <v>0.25</v>
      </c>
      <c r="L32">
        <f t="shared" si="2"/>
        <v>400</v>
      </c>
      <c r="M32">
        <f t="shared" si="3"/>
        <v>0</v>
      </c>
      <c r="N32">
        <f t="shared" si="3"/>
        <v>2.5000000000000001E-2</v>
      </c>
      <c r="O32">
        <f t="shared" si="3"/>
        <v>0.05</v>
      </c>
    </row>
    <row r="33" spans="1:15" x14ac:dyDescent="0.25">
      <c r="A33" s="6">
        <v>375</v>
      </c>
      <c r="B33" s="4">
        <f t="shared" si="0"/>
        <v>6</v>
      </c>
      <c r="C33" s="4">
        <f t="shared" si="1"/>
        <v>15</v>
      </c>
      <c r="D33" s="4">
        <v>0</v>
      </c>
      <c r="E33" s="4">
        <f>ROUND((-((A33-$A$58)^2)+152100)/152100*5000, 0)</f>
        <v>377</v>
      </c>
      <c r="F33" s="4">
        <v>100</v>
      </c>
      <c r="G33" s="4">
        <v>200</v>
      </c>
      <c r="H33" s="4">
        <v>600</v>
      </c>
      <c r="I33" s="4">
        <v>500</v>
      </c>
      <c r="K33" s="1">
        <f>TIME(B33,C33,D33)</f>
        <v>0.26041666666666669</v>
      </c>
      <c r="L33">
        <f t="shared" si="2"/>
        <v>23</v>
      </c>
      <c r="M33">
        <f t="shared" si="3"/>
        <v>9.425E-2</v>
      </c>
      <c r="N33">
        <f t="shared" si="3"/>
        <v>2.5000000000000001E-2</v>
      </c>
      <c r="O33">
        <f t="shared" si="3"/>
        <v>0.05</v>
      </c>
    </row>
    <row r="34" spans="1:15" x14ac:dyDescent="0.25">
      <c r="A34" s="6">
        <v>390</v>
      </c>
      <c r="B34" s="4">
        <f t="shared" si="0"/>
        <v>6</v>
      </c>
      <c r="C34" s="4">
        <f t="shared" si="1"/>
        <v>30</v>
      </c>
      <c r="D34" s="4">
        <v>0</v>
      </c>
      <c r="E34" s="4">
        <f>ROUND((-((A34-$A$58)^2)+152100)/152100*5000, 0)</f>
        <v>740</v>
      </c>
      <c r="F34" s="4">
        <v>100</v>
      </c>
      <c r="G34" s="4">
        <v>200</v>
      </c>
      <c r="H34" s="4">
        <v>700</v>
      </c>
      <c r="I34" s="4">
        <v>500</v>
      </c>
      <c r="K34" s="1">
        <f>TIME(B34,C34,D34)</f>
        <v>0.27083333333333331</v>
      </c>
      <c r="L34">
        <f t="shared" si="2"/>
        <v>-240</v>
      </c>
      <c r="M34">
        <f t="shared" si="3"/>
        <v>0.185</v>
      </c>
      <c r="N34">
        <f t="shared" si="3"/>
        <v>2.5000000000000001E-2</v>
      </c>
      <c r="O34">
        <f t="shared" si="3"/>
        <v>0.05</v>
      </c>
    </row>
    <row r="35" spans="1:15" x14ac:dyDescent="0.25">
      <c r="A35" s="6">
        <v>405</v>
      </c>
      <c r="B35" s="4">
        <f t="shared" si="0"/>
        <v>6</v>
      </c>
      <c r="C35" s="4">
        <f t="shared" si="1"/>
        <v>45</v>
      </c>
      <c r="D35" s="4">
        <v>0</v>
      </c>
      <c r="E35" s="4">
        <f>ROUND((-((A35-$A$58)^2)+152100)/152100*5000, 0)</f>
        <v>1087</v>
      </c>
      <c r="F35" s="4">
        <v>100</v>
      </c>
      <c r="G35" s="4">
        <v>200</v>
      </c>
      <c r="H35" s="4">
        <v>700</v>
      </c>
      <c r="I35" s="4">
        <v>500</v>
      </c>
      <c r="K35" s="1">
        <f>TIME(B35,C35,D35)</f>
        <v>0.28125</v>
      </c>
      <c r="L35">
        <f t="shared" si="2"/>
        <v>-587</v>
      </c>
      <c r="M35">
        <f t="shared" si="3"/>
        <v>0.27174999999999999</v>
      </c>
      <c r="N35">
        <f t="shared" si="3"/>
        <v>2.5000000000000001E-2</v>
      </c>
      <c r="O35">
        <f t="shared" si="3"/>
        <v>0.05</v>
      </c>
    </row>
    <row r="36" spans="1:15" x14ac:dyDescent="0.25">
      <c r="A36" s="6">
        <v>420</v>
      </c>
      <c r="B36" s="4">
        <f t="shared" si="0"/>
        <v>7</v>
      </c>
      <c r="C36" s="4">
        <f t="shared" si="1"/>
        <v>0</v>
      </c>
      <c r="D36" s="4">
        <v>0</v>
      </c>
      <c r="E36" s="4">
        <f>ROUND((-((A36-$A$58)^2)+152100)/152100*5000, 0)</f>
        <v>1420</v>
      </c>
      <c r="F36" s="4">
        <v>100</v>
      </c>
      <c r="G36" s="4">
        <v>200</v>
      </c>
      <c r="H36" s="4">
        <v>800</v>
      </c>
      <c r="I36" s="4">
        <v>5000</v>
      </c>
      <c r="K36" s="1">
        <f>TIME(B36,C36,D36)</f>
        <v>0.29166666666666669</v>
      </c>
      <c r="L36">
        <f t="shared" si="2"/>
        <v>-820</v>
      </c>
      <c r="M36">
        <f t="shared" si="3"/>
        <v>0.35499999999999998</v>
      </c>
      <c r="N36">
        <f t="shared" si="3"/>
        <v>2.5000000000000001E-2</v>
      </c>
      <c r="O36">
        <f t="shared" si="3"/>
        <v>0.05</v>
      </c>
    </row>
    <row r="37" spans="1:15" x14ac:dyDescent="0.25">
      <c r="A37" s="6">
        <v>435</v>
      </c>
      <c r="B37" s="4">
        <f t="shared" si="0"/>
        <v>7</v>
      </c>
      <c r="C37" s="4">
        <f t="shared" si="1"/>
        <v>15</v>
      </c>
      <c r="D37" s="4">
        <v>0</v>
      </c>
      <c r="E37" s="4">
        <f>ROUND((-((A37-$A$58)^2)+152100)/152100*5000, 0)</f>
        <v>1738</v>
      </c>
      <c r="F37" s="4">
        <v>100</v>
      </c>
      <c r="G37" s="4">
        <v>200</v>
      </c>
      <c r="H37" s="4">
        <v>800</v>
      </c>
      <c r="I37" s="4">
        <v>5000</v>
      </c>
      <c r="K37" s="1">
        <f>TIME(B37,C37,D37)</f>
        <v>0.30208333333333331</v>
      </c>
      <c r="L37">
        <f t="shared" si="2"/>
        <v>-1138</v>
      </c>
      <c r="M37">
        <f t="shared" si="3"/>
        <v>0.4345</v>
      </c>
      <c r="N37">
        <f t="shared" si="3"/>
        <v>2.5000000000000001E-2</v>
      </c>
      <c r="O37">
        <f t="shared" si="3"/>
        <v>0.05</v>
      </c>
    </row>
    <row r="38" spans="1:15" x14ac:dyDescent="0.25">
      <c r="A38" s="6">
        <v>450</v>
      </c>
      <c r="B38" s="4">
        <f t="shared" si="0"/>
        <v>7</v>
      </c>
      <c r="C38" s="4">
        <f t="shared" si="1"/>
        <v>30</v>
      </c>
      <c r="D38" s="4">
        <v>0</v>
      </c>
      <c r="E38" s="4">
        <f>ROUND((-((A38-$A$58)^2)+152100)/152100*5000, 0)</f>
        <v>2041</v>
      </c>
      <c r="F38" s="4">
        <v>100</v>
      </c>
      <c r="G38" s="4">
        <v>200</v>
      </c>
      <c r="H38" s="4">
        <v>900</v>
      </c>
      <c r="I38" s="4">
        <v>1000</v>
      </c>
      <c r="K38" s="1">
        <f>TIME(B38,C38,D38)</f>
        <v>0.3125</v>
      </c>
      <c r="L38">
        <f t="shared" si="2"/>
        <v>-1341</v>
      </c>
      <c r="M38">
        <f t="shared" si="3"/>
        <v>0.51024999999999998</v>
      </c>
      <c r="N38">
        <f t="shared" si="3"/>
        <v>2.5000000000000001E-2</v>
      </c>
      <c r="O38">
        <f t="shared" si="3"/>
        <v>0.05</v>
      </c>
    </row>
    <row r="39" spans="1:15" x14ac:dyDescent="0.25">
      <c r="A39" s="6">
        <v>465</v>
      </c>
      <c r="B39" s="4">
        <f t="shared" si="0"/>
        <v>7</v>
      </c>
      <c r="C39" s="4">
        <f t="shared" si="1"/>
        <v>45</v>
      </c>
      <c r="D39" s="4">
        <v>0</v>
      </c>
      <c r="E39" s="4">
        <f>ROUND((-((A39-$A$58)^2)+152100)/152100*5000, 0)</f>
        <v>2330</v>
      </c>
      <c r="F39" s="4">
        <v>100</v>
      </c>
      <c r="G39" s="4">
        <v>200</v>
      </c>
      <c r="H39" s="4">
        <v>900</v>
      </c>
      <c r="I39" s="4">
        <v>1000</v>
      </c>
      <c r="K39" s="1">
        <f>TIME(B39,C39,D39)</f>
        <v>0.32291666666666669</v>
      </c>
      <c r="L39">
        <f t="shared" si="2"/>
        <v>-1630</v>
      </c>
      <c r="M39">
        <f t="shared" si="3"/>
        <v>0.58250000000000002</v>
      </c>
      <c r="N39">
        <f t="shared" si="3"/>
        <v>2.5000000000000001E-2</v>
      </c>
      <c r="O39">
        <f t="shared" si="3"/>
        <v>0.05</v>
      </c>
    </row>
    <row r="40" spans="1:15" x14ac:dyDescent="0.25">
      <c r="A40" s="6">
        <v>480</v>
      </c>
      <c r="B40" s="4">
        <f t="shared" si="0"/>
        <v>8</v>
      </c>
      <c r="C40" s="4">
        <f t="shared" si="1"/>
        <v>0</v>
      </c>
      <c r="D40" s="4">
        <v>0</v>
      </c>
      <c r="E40" s="4">
        <f>ROUND((-((A40-$A$58)^2)+152100)/152100*5000, 0)</f>
        <v>2604</v>
      </c>
      <c r="F40" s="4">
        <v>100</v>
      </c>
      <c r="G40" s="4">
        <v>200</v>
      </c>
      <c r="H40" s="4">
        <v>800</v>
      </c>
      <c r="I40" s="4">
        <v>1000</v>
      </c>
      <c r="K40" s="1">
        <f>TIME(B40,C40,D40)</f>
        <v>0.33333333333333331</v>
      </c>
      <c r="L40">
        <f t="shared" si="2"/>
        <v>-2004</v>
      </c>
      <c r="M40">
        <f t="shared" si="3"/>
        <v>0.65100000000000002</v>
      </c>
      <c r="N40">
        <f t="shared" si="3"/>
        <v>2.5000000000000001E-2</v>
      </c>
      <c r="O40">
        <f t="shared" si="3"/>
        <v>0.05</v>
      </c>
    </row>
    <row r="41" spans="1:15" x14ac:dyDescent="0.25">
      <c r="A41" s="6">
        <v>495</v>
      </c>
      <c r="B41" s="4">
        <f t="shared" si="0"/>
        <v>8</v>
      </c>
      <c r="C41" s="4">
        <f t="shared" si="1"/>
        <v>15</v>
      </c>
      <c r="D41" s="4">
        <v>0</v>
      </c>
      <c r="E41" s="4">
        <f>ROUND((-((A41-$A$58)^2)+152100)/152100*5000, 0)</f>
        <v>2862</v>
      </c>
      <c r="F41" s="4">
        <v>100</v>
      </c>
      <c r="G41" s="4">
        <v>200</v>
      </c>
      <c r="H41" s="4">
        <v>800</v>
      </c>
      <c r="I41" s="4">
        <v>1000</v>
      </c>
      <c r="K41" s="1">
        <f>TIME(B41,C41,D41)</f>
        <v>0.34375</v>
      </c>
      <c r="L41">
        <f t="shared" si="2"/>
        <v>-2262</v>
      </c>
      <c r="M41">
        <f t="shared" si="3"/>
        <v>0.71550000000000002</v>
      </c>
      <c r="N41">
        <f t="shared" si="3"/>
        <v>2.5000000000000001E-2</v>
      </c>
      <c r="O41">
        <f t="shared" si="3"/>
        <v>0.05</v>
      </c>
    </row>
    <row r="42" spans="1:15" x14ac:dyDescent="0.25">
      <c r="A42" s="6">
        <v>510</v>
      </c>
      <c r="B42" s="4">
        <f t="shared" si="0"/>
        <v>8</v>
      </c>
      <c r="C42" s="4">
        <f t="shared" si="1"/>
        <v>30</v>
      </c>
      <c r="D42" s="4">
        <v>0</v>
      </c>
      <c r="E42" s="4">
        <f>ROUND((-((A42-$A$58)^2)+152100)/152100*5000, 0)</f>
        <v>3107</v>
      </c>
      <c r="F42" s="4">
        <v>100</v>
      </c>
      <c r="G42" s="4">
        <v>200</v>
      </c>
      <c r="H42" s="4">
        <v>900</v>
      </c>
      <c r="I42" s="4">
        <v>1000</v>
      </c>
      <c r="K42" s="1">
        <f>TIME(B42,C42,D42)</f>
        <v>0.35416666666666669</v>
      </c>
      <c r="L42">
        <f t="shared" si="2"/>
        <v>-2407</v>
      </c>
      <c r="M42">
        <f t="shared" si="3"/>
        <v>0.77675000000000005</v>
      </c>
      <c r="N42">
        <f t="shared" si="3"/>
        <v>2.5000000000000001E-2</v>
      </c>
      <c r="O42">
        <f t="shared" si="3"/>
        <v>0.05</v>
      </c>
    </row>
    <row r="43" spans="1:15" x14ac:dyDescent="0.25">
      <c r="A43" s="6">
        <v>525</v>
      </c>
      <c r="B43" s="4">
        <f t="shared" si="0"/>
        <v>8</v>
      </c>
      <c r="C43" s="4">
        <f t="shared" si="1"/>
        <v>45</v>
      </c>
      <c r="D43" s="4">
        <v>0</v>
      </c>
      <c r="E43" s="4">
        <f>ROUND((-((A43-$A$58)^2)+152100)/152100*5000, 0)</f>
        <v>3336</v>
      </c>
      <c r="F43" s="4">
        <v>100</v>
      </c>
      <c r="G43" s="4">
        <v>200</v>
      </c>
      <c r="H43" s="4">
        <v>900</v>
      </c>
      <c r="I43" s="4">
        <v>1000</v>
      </c>
      <c r="K43" s="1">
        <f>TIME(B43,C43,D43)</f>
        <v>0.36458333333333331</v>
      </c>
      <c r="L43">
        <f t="shared" si="2"/>
        <v>-2636</v>
      </c>
      <c r="M43">
        <f t="shared" si="3"/>
        <v>0.83399999999999996</v>
      </c>
      <c r="N43">
        <f t="shared" si="3"/>
        <v>2.5000000000000001E-2</v>
      </c>
      <c r="O43">
        <f t="shared" si="3"/>
        <v>0.05</v>
      </c>
    </row>
    <row r="44" spans="1:15" x14ac:dyDescent="0.25">
      <c r="A44" s="6">
        <v>540</v>
      </c>
      <c r="B44" s="4">
        <f t="shared" si="0"/>
        <v>9</v>
      </c>
      <c r="C44" s="4">
        <f t="shared" si="1"/>
        <v>0</v>
      </c>
      <c r="D44" s="4">
        <v>0</v>
      </c>
      <c r="E44" s="4">
        <f>ROUND((-((A44-$A$58)^2)+152100)/152100*5000, 0)</f>
        <v>3550</v>
      </c>
      <c r="F44" s="4">
        <v>100</v>
      </c>
      <c r="G44" s="4">
        <v>200</v>
      </c>
      <c r="H44" s="4">
        <v>600</v>
      </c>
      <c r="I44" s="4">
        <v>1000</v>
      </c>
      <c r="K44" s="1">
        <f>TIME(B44,C44,D44)</f>
        <v>0.375</v>
      </c>
      <c r="L44">
        <f t="shared" si="2"/>
        <v>-3150</v>
      </c>
      <c r="M44">
        <f t="shared" si="3"/>
        <v>0.88749999999999996</v>
      </c>
      <c r="N44">
        <f t="shared" si="3"/>
        <v>2.5000000000000001E-2</v>
      </c>
      <c r="O44">
        <f t="shared" si="3"/>
        <v>0.05</v>
      </c>
    </row>
    <row r="45" spans="1:15" x14ac:dyDescent="0.25">
      <c r="A45" s="6">
        <v>555</v>
      </c>
      <c r="B45" s="4">
        <f t="shared" si="0"/>
        <v>9</v>
      </c>
      <c r="C45" s="4">
        <f t="shared" si="1"/>
        <v>15</v>
      </c>
      <c r="D45" s="4">
        <v>0</v>
      </c>
      <c r="E45" s="4">
        <f>ROUND((-((A45-$A$58)^2)+152100)/152100*5000, 0)</f>
        <v>3750</v>
      </c>
      <c r="F45" s="4">
        <v>100</v>
      </c>
      <c r="G45" s="4">
        <v>200</v>
      </c>
      <c r="H45" s="4">
        <v>600</v>
      </c>
      <c r="I45" s="4">
        <v>1000</v>
      </c>
      <c r="K45" s="1">
        <f>TIME(B45,C45,D45)</f>
        <v>0.38541666666666669</v>
      </c>
      <c r="L45">
        <f t="shared" si="2"/>
        <v>-3350</v>
      </c>
      <c r="M45">
        <f t="shared" si="3"/>
        <v>0.9375</v>
      </c>
      <c r="N45">
        <f t="shared" si="3"/>
        <v>2.5000000000000001E-2</v>
      </c>
      <c r="O45">
        <f t="shared" si="3"/>
        <v>0.05</v>
      </c>
    </row>
    <row r="46" spans="1:15" x14ac:dyDescent="0.25">
      <c r="A46" s="6">
        <v>570</v>
      </c>
      <c r="B46" s="4">
        <f t="shared" si="0"/>
        <v>9</v>
      </c>
      <c r="C46" s="4">
        <f t="shared" si="1"/>
        <v>30</v>
      </c>
      <c r="D46" s="4">
        <v>0</v>
      </c>
      <c r="E46" s="4">
        <f>ROUND((-((A46-$A$58)^2)+152100)/152100*5000, 0)</f>
        <v>3935</v>
      </c>
      <c r="F46" s="4">
        <v>100</v>
      </c>
      <c r="G46" s="4">
        <v>200</v>
      </c>
      <c r="H46" s="4">
        <v>700</v>
      </c>
      <c r="I46" s="4">
        <v>1000</v>
      </c>
      <c r="K46" s="1">
        <f>TIME(B46,C46,D46)</f>
        <v>0.39583333333333331</v>
      </c>
      <c r="L46">
        <f t="shared" si="2"/>
        <v>-3435</v>
      </c>
      <c r="M46">
        <f t="shared" si="3"/>
        <v>0.98375000000000001</v>
      </c>
      <c r="N46">
        <f t="shared" si="3"/>
        <v>2.5000000000000001E-2</v>
      </c>
      <c r="O46">
        <f t="shared" si="3"/>
        <v>0.05</v>
      </c>
    </row>
    <row r="47" spans="1:15" x14ac:dyDescent="0.25">
      <c r="A47" s="6">
        <v>585</v>
      </c>
      <c r="B47" s="4">
        <f t="shared" si="0"/>
        <v>9</v>
      </c>
      <c r="C47" s="4">
        <f t="shared" si="1"/>
        <v>45</v>
      </c>
      <c r="D47" s="4">
        <v>0</v>
      </c>
      <c r="E47" s="4">
        <f>ROUND((-((A47-$A$58)^2)+152100)/152100*5000, 0)</f>
        <v>4105</v>
      </c>
      <c r="F47" s="4">
        <v>100</v>
      </c>
      <c r="G47" s="4">
        <v>200</v>
      </c>
      <c r="H47" s="4">
        <v>700</v>
      </c>
      <c r="I47" s="4">
        <v>1000</v>
      </c>
      <c r="K47" s="1">
        <f>TIME(B47,C47,D47)</f>
        <v>0.40625</v>
      </c>
      <c r="L47">
        <f t="shared" si="2"/>
        <v>-3605</v>
      </c>
      <c r="M47">
        <f t="shared" si="3"/>
        <v>1.0262500000000001</v>
      </c>
      <c r="N47">
        <f t="shared" si="3"/>
        <v>2.5000000000000001E-2</v>
      </c>
      <c r="O47">
        <f t="shared" si="3"/>
        <v>0.05</v>
      </c>
    </row>
    <row r="48" spans="1:15" x14ac:dyDescent="0.25">
      <c r="A48" s="6">
        <v>600</v>
      </c>
      <c r="B48" s="4">
        <f t="shared" si="0"/>
        <v>10</v>
      </c>
      <c r="C48" s="4">
        <f t="shared" si="1"/>
        <v>0</v>
      </c>
      <c r="D48" s="4">
        <v>0</v>
      </c>
      <c r="E48" s="4">
        <f>ROUND((-((A48-$A$58)^2)+152100)/152100*5000, 0)</f>
        <v>4260</v>
      </c>
      <c r="F48" s="4">
        <v>100</v>
      </c>
      <c r="G48" s="4">
        <v>200</v>
      </c>
      <c r="H48" s="4">
        <v>600</v>
      </c>
      <c r="I48" s="4">
        <v>1000</v>
      </c>
      <c r="K48" s="1">
        <f>TIME(B48,C48,D48)</f>
        <v>0.41666666666666669</v>
      </c>
      <c r="L48">
        <f t="shared" si="2"/>
        <v>-3860</v>
      </c>
      <c r="M48">
        <f t="shared" si="3"/>
        <v>1.0649999999999999</v>
      </c>
      <c r="N48">
        <f t="shared" si="3"/>
        <v>2.5000000000000001E-2</v>
      </c>
      <c r="O48">
        <f t="shared" si="3"/>
        <v>0.05</v>
      </c>
    </row>
    <row r="49" spans="1:15" x14ac:dyDescent="0.25">
      <c r="A49" s="6">
        <v>615</v>
      </c>
      <c r="B49" s="4">
        <f t="shared" si="0"/>
        <v>10</v>
      </c>
      <c r="C49" s="4">
        <f t="shared" si="1"/>
        <v>15</v>
      </c>
      <c r="D49" s="4">
        <v>0</v>
      </c>
      <c r="E49" s="4">
        <f>ROUND((-((A49-$A$58)^2)+152100)/152100*5000, 0)</f>
        <v>4401</v>
      </c>
      <c r="F49" s="4">
        <v>100</v>
      </c>
      <c r="G49" s="4">
        <v>200</v>
      </c>
      <c r="H49" s="4">
        <v>600</v>
      </c>
      <c r="I49" s="4">
        <v>1000</v>
      </c>
      <c r="K49" s="1">
        <f>TIME(B49,C49,D49)</f>
        <v>0.42708333333333331</v>
      </c>
      <c r="L49">
        <f t="shared" si="2"/>
        <v>-4001</v>
      </c>
      <c r="M49">
        <f t="shared" si="3"/>
        <v>1.10025</v>
      </c>
      <c r="N49">
        <f t="shared" si="3"/>
        <v>2.5000000000000001E-2</v>
      </c>
      <c r="O49">
        <f t="shared" si="3"/>
        <v>0.05</v>
      </c>
    </row>
    <row r="50" spans="1:15" x14ac:dyDescent="0.25">
      <c r="A50" s="6">
        <v>630</v>
      </c>
      <c r="B50" s="4">
        <f t="shared" si="0"/>
        <v>10</v>
      </c>
      <c r="C50" s="4">
        <f t="shared" si="1"/>
        <v>30</v>
      </c>
      <c r="D50" s="4">
        <v>0</v>
      </c>
      <c r="E50" s="4">
        <f>ROUND((-((A50-$A$58)^2)+152100)/152100*5000, 0)</f>
        <v>4527</v>
      </c>
      <c r="F50" s="4">
        <v>100</v>
      </c>
      <c r="G50" s="4">
        <v>200</v>
      </c>
      <c r="H50" s="4">
        <v>700</v>
      </c>
      <c r="I50" s="4">
        <v>1000</v>
      </c>
      <c r="K50" s="1">
        <f>TIME(B50,C50,D50)</f>
        <v>0.4375</v>
      </c>
      <c r="L50">
        <f t="shared" si="2"/>
        <v>-4027</v>
      </c>
      <c r="M50">
        <f t="shared" si="3"/>
        <v>1.13175</v>
      </c>
      <c r="N50">
        <f t="shared" si="3"/>
        <v>2.5000000000000001E-2</v>
      </c>
      <c r="O50">
        <f t="shared" si="3"/>
        <v>0.05</v>
      </c>
    </row>
    <row r="51" spans="1:15" x14ac:dyDescent="0.25">
      <c r="A51" s="6">
        <v>645</v>
      </c>
      <c r="B51" s="4">
        <f t="shared" si="0"/>
        <v>10</v>
      </c>
      <c r="C51" s="4">
        <f t="shared" si="1"/>
        <v>45</v>
      </c>
      <c r="D51" s="4">
        <v>0</v>
      </c>
      <c r="E51" s="4">
        <f>ROUND((-((A51-$A$58)^2)+152100)/152100*5000, 0)</f>
        <v>4638</v>
      </c>
      <c r="F51" s="4">
        <v>100</v>
      </c>
      <c r="G51" s="4">
        <v>200</v>
      </c>
      <c r="H51" s="4">
        <v>700</v>
      </c>
      <c r="I51" s="4">
        <v>1000</v>
      </c>
      <c r="K51" s="1">
        <f>TIME(B51,C51,D51)</f>
        <v>0.44791666666666669</v>
      </c>
      <c r="L51">
        <f t="shared" si="2"/>
        <v>-4138</v>
      </c>
      <c r="M51">
        <f t="shared" si="3"/>
        <v>1.1595</v>
      </c>
      <c r="N51">
        <f t="shared" si="3"/>
        <v>2.5000000000000001E-2</v>
      </c>
      <c r="O51">
        <f t="shared" si="3"/>
        <v>0.05</v>
      </c>
    </row>
    <row r="52" spans="1:15" x14ac:dyDescent="0.25">
      <c r="A52" s="6">
        <v>660</v>
      </c>
      <c r="B52" s="4">
        <f t="shared" si="0"/>
        <v>11</v>
      </c>
      <c r="C52" s="4">
        <f t="shared" si="1"/>
        <v>0</v>
      </c>
      <c r="D52" s="4">
        <v>0</v>
      </c>
      <c r="E52" s="4">
        <f>ROUND((-((A52-$A$58)^2)+152100)/152100*5000, 0)</f>
        <v>4734</v>
      </c>
      <c r="F52" s="4">
        <v>100</v>
      </c>
      <c r="G52" s="4">
        <v>200</v>
      </c>
      <c r="H52" s="4">
        <v>600</v>
      </c>
      <c r="I52" s="4">
        <v>1000</v>
      </c>
      <c r="K52" s="1">
        <f>TIME(B52,C52,D52)</f>
        <v>0.45833333333333331</v>
      </c>
      <c r="L52">
        <f t="shared" si="2"/>
        <v>-4334</v>
      </c>
      <c r="M52">
        <f t="shared" si="3"/>
        <v>1.1835</v>
      </c>
      <c r="N52">
        <f t="shared" si="3"/>
        <v>2.5000000000000001E-2</v>
      </c>
      <c r="O52">
        <f t="shared" si="3"/>
        <v>0.05</v>
      </c>
    </row>
    <row r="53" spans="1:15" x14ac:dyDescent="0.25">
      <c r="A53" s="6">
        <v>675</v>
      </c>
      <c r="B53" s="4">
        <f t="shared" si="0"/>
        <v>11</v>
      </c>
      <c r="C53" s="4">
        <f t="shared" si="1"/>
        <v>15</v>
      </c>
      <c r="D53" s="4">
        <v>0</v>
      </c>
      <c r="E53" s="4">
        <f>ROUND((-((A53-$A$58)^2)+152100)/152100*5000, 0)</f>
        <v>4815</v>
      </c>
      <c r="F53" s="4">
        <v>100</v>
      </c>
      <c r="G53" s="4">
        <v>200</v>
      </c>
      <c r="H53" s="4">
        <v>600</v>
      </c>
      <c r="I53" s="4">
        <v>1000</v>
      </c>
      <c r="K53" s="1">
        <f>TIME(B53,C53,D53)</f>
        <v>0.46875</v>
      </c>
      <c r="L53">
        <f t="shared" si="2"/>
        <v>-4415</v>
      </c>
      <c r="M53">
        <f t="shared" si="3"/>
        <v>1.2037500000000001</v>
      </c>
      <c r="N53">
        <f t="shared" si="3"/>
        <v>2.5000000000000001E-2</v>
      </c>
      <c r="O53">
        <f t="shared" si="3"/>
        <v>0.05</v>
      </c>
    </row>
    <row r="54" spans="1:15" x14ac:dyDescent="0.25">
      <c r="A54" s="6">
        <v>690</v>
      </c>
      <c r="B54" s="4">
        <f t="shared" si="0"/>
        <v>11</v>
      </c>
      <c r="C54" s="4">
        <f t="shared" si="1"/>
        <v>30</v>
      </c>
      <c r="D54" s="4">
        <v>0</v>
      </c>
      <c r="E54" s="4">
        <f>ROUND((-((A54-$A$58)^2)+152100)/152100*5000, 0)</f>
        <v>4882</v>
      </c>
      <c r="F54" s="4">
        <v>100</v>
      </c>
      <c r="G54" s="4">
        <v>200</v>
      </c>
      <c r="H54" s="4">
        <v>700</v>
      </c>
      <c r="I54" s="4">
        <v>1000</v>
      </c>
      <c r="K54" s="1">
        <f>TIME(B54,C54,D54)</f>
        <v>0.47916666666666669</v>
      </c>
      <c r="L54">
        <f t="shared" si="2"/>
        <v>-4382</v>
      </c>
      <c r="M54">
        <f t="shared" si="3"/>
        <v>1.2204999999999999</v>
      </c>
      <c r="N54">
        <f t="shared" si="3"/>
        <v>2.5000000000000001E-2</v>
      </c>
      <c r="O54">
        <f t="shared" si="3"/>
        <v>0.05</v>
      </c>
    </row>
    <row r="55" spans="1:15" x14ac:dyDescent="0.25">
      <c r="A55" s="6">
        <v>705</v>
      </c>
      <c r="B55" s="4">
        <f t="shared" si="0"/>
        <v>11</v>
      </c>
      <c r="C55" s="4">
        <f t="shared" si="1"/>
        <v>45</v>
      </c>
      <c r="D55" s="4">
        <v>0</v>
      </c>
      <c r="E55" s="4">
        <f>ROUND((-((A55-$A$58)^2)+152100)/152100*5000, 0)</f>
        <v>4933</v>
      </c>
      <c r="F55" s="4">
        <v>100</v>
      </c>
      <c r="G55" s="4">
        <v>200</v>
      </c>
      <c r="H55" s="4">
        <v>700</v>
      </c>
      <c r="I55" s="4">
        <v>1000</v>
      </c>
      <c r="K55" s="1">
        <f>TIME(B55,C55,D55)</f>
        <v>0.48958333333333331</v>
      </c>
      <c r="L55">
        <f t="shared" si="2"/>
        <v>-4433</v>
      </c>
      <c r="M55">
        <f t="shared" si="3"/>
        <v>1.23325</v>
      </c>
      <c r="N55">
        <f t="shared" si="3"/>
        <v>2.5000000000000001E-2</v>
      </c>
      <c r="O55">
        <f t="shared" si="3"/>
        <v>0.05</v>
      </c>
    </row>
    <row r="56" spans="1:15" x14ac:dyDescent="0.25">
      <c r="A56" s="6">
        <v>720</v>
      </c>
      <c r="B56" s="4">
        <f t="shared" si="0"/>
        <v>12</v>
      </c>
      <c r="C56" s="4">
        <f t="shared" si="1"/>
        <v>0</v>
      </c>
      <c r="D56" s="4">
        <v>0</v>
      </c>
      <c r="E56" s="4">
        <f>ROUND((-((A56-$A$58)^2)+152100)/152100*5000, 0)</f>
        <v>4970</v>
      </c>
      <c r="F56" s="4">
        <v>100</v>
      </c>
      <c r="G56" s="4">
        <v>200</v>
      </c>
      <c r="H56" s="4">
        <v>600</v>
      </c>
      <c r="I56" s="4">
        <v>1000</v>
      </c>
      <c r="K56" s="1">
        <f>TIME(B56,C56,D56)</f>
        <v>0.5</v>
      </c>
      <c r="L56">
        <f t="shared" si="2"/>
        <v>-4570</v>
      </c>
      <c r="M56">
        <f t="shared" si="3"/>
        <v>1.2424999999999999</v>
      </c>
      <c r="N56">
        <f t="shared" si="3"/>
        <v>2.5000000000000001E-2</v>
      </c>
      <c r="O56">
        <f t="shared" si="3"/>
        <v>0.05</v>
      </c>
    </row>
    <row r="57" spans="1:15" x14ac:dyDescent="0.25">
      <c r="A57" s="6">
        <v>735</v>
      </c>
      <c r="B57" s="4">
        <f t="shared" si="0"/>
        <v>12</v>
      </c>
      <c r="C57" s="4">
        <f t="shared" si="1"/>
        <v>15</v>
      </c>
      <c r="D57" s="4">
        <v>0</v>
      </c>
      <c r="E57" s="4">
        <f>ROUND((-((A57-$A$58)^2)+152100)/152100*5000, 0)</f>
        <v>4993</v>
      </c>
      <c r="F57" s="4">
        <v>100</v>
      </c>
      <c r="G57" s="4">
        <v>200</v>
      </c>
      <c r="H57" s="4">
        <v>600</v>
      </c>
      <c r="I57" s="4">
        <v>1000</v>
      </c>
      <c r="K57" s="1">
        <f>TIME(B57,C57,D57)</f>
        <v>0.51041666666666663</v>
      </c>
      <c r="L57">
        <f t="shared" si="2"/>
        <v>-4593</v>
      </c>
      <c r="M57">
        <f t="shared" si="3"/>
        <v>1.2482500000000001</v>
      </c>
      <c r="N57">
        <f t="shared" si="3"/>
        <v>2.5000000000000001E-2</v>
      </c>
      <c r="O57">
        <f t="shared" si="3"/>
        <v>0.05</v>
      </c>
    </row>
    <row r="58" spans="1:15" x14ac:dyDescent="0.25">
      <c r="A58" s="6">
        <v>750</v>
      </c>
      <c r="B58" s="4">
        <f t="shared" si="0"/>
        <v>12</v>
      </c>
      <c r="C58" s="4">
        <f t="shared" si="1"/>
        <v>30</v>
      </c>
      <c r="D58" s="4">
        <v>0</v>
      </c>
      <c r="E58" s="4">
        <f>ROUND((-((A58-$A$58)^2)+152100)/152100*5000, 0)</f>
        <v>5000</v>
      </c>
      <c r="F58" s="4">
        <v>100</v>
      </c>
      <c r="G58" s="4">
        <v>200</v>
      </c>
      <c r="H58" s="4">
        <v>700</v>
      </c>
      <c r="I58" s="4">
        <v>1000</v>
      </c>
      <c r="K58" s="1">
        <f>TIME(B58,C58,D58)</f>
        <v>0.52083333333333337</v>
      </c>
      <c r="L58">
        <f t="shared" si="2"/>
        <v>-4500</v>
      </c>
      <c r="M58">
        <f t="shared" si="3"/>
        <v>1.25</v>
      </c>
      <c r="N58">
        <f t="shared" si="3"/>
        <v>2.5000000000000001E-2</v>
      </c>
      <c r="O58">
        <f t="shared" si="3"/>
        <v>0.05</v>
      </c>
    </row>
    <row r="59" spans="1:15" x14ac:dyDescent="0.25">
      <c r="A59" s="6">
        <v>765</v>
      </c>
      <c r="B59" s="4">
        <f t="shared" si="0"/>
        <v>12</v>
      </c>
      <c r="C59" s="4">
        <f t="shared" si="1"/>
        <v>45</v>
      </c>
      <c r="D59" s="4">
        <v>0</v>
      </c>
      <c r="E59" s="4">
        <f>ROUND((-((A59-$A$58)^2)+152100)/152100*5000, 0)</f>
        <v>4993</v>
      </c>
      <c r="F59" s="4">
        <v>100</v>
      </c>
      <c r="G59" s="4">
        <v>200</v>
      </c>
      <c r="H59" s="4">
        <v>700</v>
      </c>
      <c r="I59" s="4">
        <v>1000</v>
      </c>
      <c r="K59" s="1">
        <f>TIME(B59,C59,D59)</f>
        <v>0.53125</v>
      </c>
      <c r="L59">
        <f t="shared" si="2"/>
        <v>-4493</v>
      </c>
      <c r="M59">
        <f t="shared" si="3"/>
        <v>1.2482500000000001</v>
      </c>
      <c r="N59">
        <f t="shared" si="3"/>
        <v>2.5000000000000001E-2</v>
      </c>
      <c r="O59">
        <f t="shared" si="3"/>
        <v>0.05</v>
      </c>
    </row>
    <row r="60" spans="1:15" x14ac:dyDescent="0.25">
      <c r="A60" s="6">
        <v>780</v>
      </c>
      <c r="B60" s="4">
        <f t="shared" si="0"/>
        <v>13</v>
      </c>
      <c r="C60" s="4">
        <f t="shared" si="1"/>
        <v>0</v>
      </c>
      <c r="D60" s="4">
        <v>0</v>
      </c>
      <c r="E60" s="4">
        <f>ROUND((-((A60-$A$58)^2)+152100)/152100*5000, 0)</f>
        <v>4970</v>
      </c>
      <c r="F60" s="4">
        <v>100</v>
      </c>
      <c r="G60" s="4">
        <v>200</v>
      </c>
      <c r="H60" s="4">
        <v>600</v>
      </c>
      <c r="I60" s="4">
        <v>1000</v>
      </c>
      <c r="K60" s="1">
        <f>TIME(B60,C60,D60)</f>
        <v>0.54166666666666663</v>
      </c>
      <c r="L60">
        <f t="shared" si="2"/>
        <v>-4570</v>
      </c>
      <c r="M60">
        <f t="shared" si="3"/>
        <v>1.2424999999999999</v>
      </c>
      <c r="N60">
        <f t="shared" si="3"/>
        <v>2.5000000000000001E-2</v>
      </c>
      <c r="O60">
        <f t="shared" si="3"/>
        <v>0.05</v>
      </c>
    </row>
    <row r="61" spans="1:15" x14ac:dyDescent="0.25">
      <c r="A61" s="6">
        <v>795</v>
      </c>
      <c r="B61" s="4">
        <f t="shared" si="0"/>
        <v>13</v>
      </c>
      <c r="C61" s="4">
        <f t="shared" si="1"/>
        <v>15</v>
      </c>
      <c r="D61" s="4">
        <v>0</v>
      </c>
      <c r="E61" s="4">
        <f>ROUND((-((A61-$A$58)^2)+152100)/152100*5000, 0)</f>
        <v>4933</v>
      </c>
      <c r="F61" s="4">
        <v>100</v>
      </c>
      <c r="G61" s="4">
        <v>200</v>
      </c>
      <c r="H61" s="4">
        <v>600</v>
      </c>
      <c r="I61" s="4">
        <v>1000</v>
      </c>
      <c r="K61" s="1">
        <f>TIME(B61,C61,D61)</f>
        <v>0.55208333333333337</v>
      </c>
      <c r="L61">
        <f t="shared" si="2"/>
        <v>-4533</v>
      </c>
      <c r="M61">
        <f t="shared" si="3"/>
        <v>1.23325</v>
      </c>
      <c r="N61">
        <f t="shared" si="3"/>
        <v>2.5000000000000001E-2</v>
      </c>
      <c r="O61">
        <f t="shared" si="3"/>
        <v>0.05</v>
      </c>
    </row>
    <row r="62" spans="1:15" x14ac:dyDescent="0.25">
      <c r="A62" s="6">
        <v>810</v>
      </c>
      <c r="B62" s="4">
        <f t="shared" si="0"/>
        <v>13</v>
      </c>
      <c r="C62" s="4">
        <f t="shared" si="1"/>
        <v>30</v>
      </c>
      <c r="D62" s="4">
        <v>0</v>
      </c>
      <c r="E62" s="4">
        <f>ROUND((-((A62-$A$58)^2)+152100)/152100*5000, 0)</f>
        <v>4882</v>
      </c>
      <c r="F62" s="4">
        <v>100</v>
      </c>
      <c r="G62" s="4">
        <v>200</v>
      </c>
      <c r="H62" s="4">
        <v>700</v>
      </c>
      <c r="I62" s="4">
        <v>1000</v>
      </c>
      <c r="K62" s="1">
        <f>TIME(B62,C62,D62)</f>
        <v>0.5625</v>
      </c>
      <c r="L62">
        <f t="shared" si="2"/>
        <v>-4382</v>
      </c>
      <c r="M62">
        <f t="shared" si="3"/>
        <v>1.2204999999999999</v>
      </c>
      <c r="N62">
        <f t="shared" si="3"/>
        <v>2.5000000000000001E-2</v>
      </c>
      <c r="O62">
        <f t="shared" si="3"/>
        <v>0.05</v>
      </c>
    </row>
    <row r="63" spans="1:15" x14ac:dyDescent="0.25">
      <c r="A63" s="6">
        <v>825</v>
      </c>
      <c r="B63" s="4">
        <f t="shared" si="0"/>
        <v>13</v>
      </c>
      <c r="C63" s="4">
        <f t="shared" si="1"/>
        <v>45</v>
      </c>
      <c r="D63" s="4">
        <v>0</v>
      </c>
      <c r="E63" s="4">
        <f>ROUND((-((A63-$A$58)^2)+152100)/152100*5000, 0)</f>
        <v>4815</v>
      </c>
      <c r="F63" s="4">
        <v>100</v>
      </c>
      <c r="G63" s="4">
        <v>200</v>
      </c>
      <c r="H63" s="4">
        <v>700</v>
      </c>
      <c r="I63" s="4">
        <v>1000</v>
      </c>
      <c r="K63" s="1">
        <f>TIME(B63,C63,D63)</f>
        <v>0.57291666666666663</v>
      </c>
      <c r="L63">
        <f t="shared" si="2"/>
        <v>-4315</v>
      </c>
      <c r="M63">
        <f t="shared" si="3"/>
        <v>1.2037500000000001</v>
      </c>
      <c r="N63">
        <f t="shared" si="3"/>
        <v>2.5000000000000001E-2</v>
      </c>
      <c r="O63">
        <f t="shared" si="3"/>
        <v>0.05</v>
      </c>
    </row>
    <row r="64" spans="1:15" x14ac:dyDescent="0.25">
      <c r="A64" s="6">
        <v>840</v>
      </c>
      <c r="B64" s="4">
        <f t="shared" si="0"/>
        <v>14</v>
      </c>
      <c r="C64" s="4">
        <f t="shared" si="1"/>
        <v>0</v>
      </c>
      <c r="D64" s="4">
        <v>0</v>
      </c>
      <c r="E64" s="4">
        <f>ROUND((-((A64-$A$58)^2)+152100)/152100*5000, 0)</f>
        <v>4734</v>
      </c>
      <c r="F64" s="4">
        <v>100</v>
      </c>
      <c r="G64" s="4">
        <v>200</v>
      </c>
      <c r="H64" s="4">
        <v>600</v>
      </c>
      <c r="I64" s="4">
        <v>1000</v>
      </c>
      <c r="K64" s="1">
        <f>TIME(B64,C64,D64)</f>
        <v>0.58333333333333337</v>
      </c>
      <c r="L64">
        <f t="shared" si="2"/>
        <v>-4334</v>
      </c>
      <c r="M64">
        <f t="shared" si="3"/>
        <v>1.1835</v>
      </c>
      <c r="N64">
        <f t="shared" si="3"/>
        <v>2.5000000000000001E-2</v>
      </c>
      <c r="O64">
        <f t="shared" si="3"/>
        <v>0.05</v>
      </c>
    </row>
    <row r="65" spans="1:15" x14ac:dyDescent="0.25">
      <c r="A65" s="6">
        <v>855</v>
      </c>
      <c r="B65" s="4">
        <f t="shared" si="0"/>
        <v>14</v>
      </c>
      <c r="C65" s="4">
        <f t="shared" si="1"/>
        <v>15</v>
      </c>
      <c r="D65" s="4">
        <v>0</v>
      </c>
      <c r="E65" s="4">
        <f>ROUND((-((A65-$A$58)^2)+152100)/152100*5000, 0)</f>
        <v>4638</v>
      </c>
      <c r="F65" s="4">
        <v>100</v>
      </c>
      <c r="G65" s="4">
        <v>200</v>
      </c>
      <c r="H65" s="4">
        <v>600</v>
      </c>
      <c r="I65" s="4">
        <v>1000</v>
      </c>
      <c r="K65" s="1">
        <f>TIME(B65,C65,D65)</f>
        <v>0.59375</v>
      </c>
      <c r="L65">
        <f t="shared" si="2"/>
        <v>-4238</v>
      </c>
      <c r="M65">
        <f t="shared" si="3"/>
        <v>1.1595</v>
      </c>
      <c r="N65">
        <f t="shared" si="3"/>
        <v>2.5000000000000001E-2</v>
      </c>
      <c r="O65">
        <f t="shared" si="3"/>
        <v>0.05</v>
      </c>
    </row>
    <row r="66" spans="1:15" x14ac:dyDescent="0.25">
      <c r="A66" s="6">
        <v>870</v>
      </c>
      <c r="B66" s="4">
        <f t="shared" si="0"/>
        <v>14</v>
      </c>
      <c r="C66" s="4">
        <f t="shared" si="1"/>
        <v>30</v>
      </c>
      <c r="D66" s="4">
        <v>0</v>
      </c>
      <c r="E66" s="4">
        <f>ROUND((-((A66-$A$58)^2)+152100)/152100*5000, 0)</f>
        <v>4527</v>
      </c>
      <c r="F66" s="4">
        <v>100</v>
      </c>
      <c r="G66" s="4">
        <v>200</v>
      </c>
      <c r="H66" s="4">
        <v>700</v>
      </c>
      <c r="I66" s="4">
        <v>1000</v>
      </c>
      <c r="K66" s="1">
        <f>TIME(B66,C66,D66)</f>
        <v>0.60416666666666663</v>
      </c>
      <c r="L66">
        <f t="shared" si="2"/>
        <v>-4027</v>
      </c>
      <c r="M66">
        <f t="shared" si="3"/>
        <v>1.13175</v>
      </c>
      <c r="N66">
        <f t="shared" si="3"/>
        <v>2.5000000000000001E-2</v>
      </c>
      <c r="O66">
        <f t="shared" si="3"/>
        <v>0.05</v>
      </c>
    </row>
    <row r="67" spans="1:15" x14ac:dyDescent="0.25">
      <c r="A67" s="6">
        <v>885</v>
      </c>
      <c r="B67" s="4">
        <f t="shared" si="0"/>
        <v>14</v>
      </c>
      <c r="C67" s="4">
        <f t="shared" si="1"/>
        <v>45</v>
      </c>
      <c r="D67" s="4">
        <v>0</v>
      </c>
      <c r="E67" s="4">
        <f>ROUND((-((A67-$A$58)^2)+152100)/152100*5000, 0)</f>
        <v>4401</v>
      </c>
      <c r="F67" s="4">
        <v>100</v>
      </c>
      <c r="G67" s="4">
        <v>200</v>
      </c>
      <c r="H67" s="4">
        <v>700</v>
      </c>
      <c r="I67" s="4">
        <v>1000</v>
      </c>
      <c r="K67" s="1">
        <f>TIME(B67,C67,D67)</f>
        <v>0.61458333333333337</v>
      </c>
      <c r="L67">
        <f t="shared" si="2"/>
        <v>-3901</v>
      </c>
      <c r="M67">
        <f t="shared" si="3"/>
        <v>1.10025</v>
      </c>
      <c r="N67">
        <f t="shared" si="3"/>
        <v>2.5000000000000001E-2</v>
      </c>
      <c r="O67">
        <f t="shared" si="3"/>
        <v>0.05</v>
      </c>
    </row>
    <row r="68" spans="1:15" x14ac:dyDescent="0.25">
      <c r="A68" s="6">
        <v>900</v>
      </c>
      <c r="B68" s="4">
        <f t="shared" si="0"/>
        <v>15</v>
      </c>
      <c r="C68" s="4">
        <f t="shared" si="1"/>
        <v>0</v>
      </c>
      <c r="D68" s="4">
        <v>0</v>
      </c>
      <c r="E68" s="4">
        <f>ROUND((-((A68-$A$58)^2)+152100)/152100*5000, 0)</f>
        <v>4260</v>
      </c>
      <c r="F68" s="4">
        <v>100</v>
      </c>
      <c r="G68" s="4">
        <v>200</v>
      </c>
      <c r="H68" s="4">
        <v>600</v>
      </c>
      <c r="I68" s="4">
        <v>1000</v>
      </c>
      <c r="K68" s="1">
        <f>TIME(B68,C68,D68)</f>
        <v>0.625</v>
      </c>
      <c r="L68">
        <f t="shared" si="2"/>
        <v>-3860</v>
      </c>
      <c r="M68">
        <f t="shared" si="3"/>
        <v>1.0649999999999999</v>
      </c>
      <c r="N68">
        <f t="shared" si="3"/>
        <v>2.5000000000000001E-2</v>
      </c>
      <c r="O68">
        <f t="shared" si="3"/>
        <v>0.05</v>
      </c>
    </row>
    <row r="69" spans="1:15" x14ac:dyDescent="0.25">
      <c r="A69" s="6">
        <v>915</v>
      </c>
      <c r="B69" s="4">
        <f t="shared" si="0"/>
        <v>15</v>
      </c>
      <c r="C69" s="4">
        <f t="shared" si="1"/>
        <v>15</v>
      </c>
      <c r="D69" s="4">
        <v>0</v>
      </c>
      <c r="E69" s="4">
        <f>ROUND((-((A69-$A$58)^2)+152100)/152100*5000, 0)</f>
        <v>4105</v>
      </c>
      <c r="F69" s="4">
        <v>100</v>
      </c>
      <c r="G69" s="4">
        <v>200</v>
      </c>
      <c r="H69" s="4">
        <v>600</v>
      </c>
      <c r="I69" s="4">
        <v>1000</v>
      </c>
      <c r="K69" s="1">
        <f>TIME(B69,C69,D69)</f>
        <v>0.63541666666666663</v>
      </c>
      <c r="L69">
        <f t="shared" si="2"/>
        <v>-3705</v>
      </c>
      <c r="M69">
        <f t="shared" si="3"/>
        <v>1.0262500000000001</v>
      </c>
      <c r="N69">
        <f t="shared" si="3"/>
        <v>2.5000000000000001E-2</v>
      </c>
      <c r="O69">
        <f t="shared" si="3"/>
        <v>0.05</v>
      </c>
    </row>
    <row r="70" spans="1:15" x14ac:dyDescent="0.25">
      <c r="A70" s="6">
        <v>930</v>
      </c>
      <c r="B70" s="4">
        <f t="shared" si="0"/>
        <v>15</v>
      </c>
      <c r="C70" s="4">
        <f t="shared" si="1"/>
        <v>30</v>
      </c>
      <c r="D70" s="4">
        <v>0</v>
      </c>
      <c r="E70" s="4">
        <f>ROUND((-((A70-$A$58)^2)+152100)/152100*5000, 0)</f>
        <v>3935</v>
      </c>
      <c r="F70" s="4">
        <v>100</v>
      </c>
      <c r="G70" s="4">
        <v>200</v>
      </c>
      <c r="H70" s="4">
        <v>700</v>
      </c>
      <c r="I70" s="4">
        <v>1000</v>
      </c>
      <c r="K70" s="1">
        <f>TIME(B70,C70,D70)</f>
        <v>0.64583333333333337</v>
      </c>
      <c r="L70">
        <f t="shared" si="2"/>
        <v>-3435</v>
      </c>
      <c r="M70">
        <f t="shared" si="3"/>
        <v>0.98375000000000001</v>
      </c>
      <c r="N70">
        <f t="shared" si="3"/>
        <v>2.5000000000000001E-2</v>
      </c>
      <c r="O70">
        <f t="shared" si="3"/>
        <v>0.05</v>
      </c>
    </row>
    <row r="71" spans="1:15" x14ac:dyDescent="0.25">
      <c r="A71" s="6">
        <v>945</v>
      </c>
      <c r="B71" s="4">
        <f t="shared" si="0"/>
        <v>15</v>
      </c>
      <c r="C71" s="4">
        <f t="shared" si="1"/>
        <v>45</v>
      </c>
      <c r="D71" s="4">
        <v>0</v>
      </c>
      <c r="E71" s="4">
        <f>ROUND((-((A71-$A$58)^2)+152100)/152100*5000, 0)</f>
        <v>3750</v>
      </c>
      <c r="F71" s="4">
        <v>100</v>
      </c>
      <c r="G71" s="4">
        <v>200</v>
      </c>
      <c r="H71" s="4">
        <v>700</v>
      </c>
      <c r="I71" s="4">
        <v>1000</v>
      </c>
      <c r="K71" s="1">
        <f>TIME(B71,C71,D71)</f>
        <v>0.65625</v>
      </c>
      <c r="L71">
        <f t="shared" si="2"/>
        <v>-3250</v>
      </c>
      <c r="M71">
        <f t="shared" si="3"/>
        <v>0.9375</v>
      </c>
      <c r="N71">
        <f t="shared" si="3"/>
        <v>2.5000000000000001E-2</v>
      </c>
      <c r="O71">
        <f t="shared" si="3"/>
        <v>0.05</v>
      </c>
    </row>
    <row r="72" spans="1:15" x14ac:dyDescent="0.25">
      <c r="A72" s="6">
        <v>960</v>
      </c>
      <c r="B72" s="4">
        <f t="shared" si="0"/>
        <v>16</v>
      </c>
      <c r="C72" s="4">
        <f t="shared" si="1"/>
        <v>0</v>
      </c>
      <c r="D72" s="4">
        <v>0</v>
      </c>
      <c r="E72" s="4">
        <f>ROUND((-((A72-$A$58)^2)+152100)/152100*5000, 0)</f>
        <v>3550</v>
      </c>
      <c r="F72" s="4">
        <v>100</v>
      </c>
      <c r="G72" s="4">
        <v>200</v>
      </c>
      <c r="H72" s="4">
        <v>600</v>
      </c>
      <c r="I72" s="4">
        <v>1000</v>
      </c>
      <c r="K72" s="1">
        <f>TIME(B72,C72,D72)</f>
        <v>0.66666666666666663</v>
      </c>
      <c r="L72">
        <f t="shared" si="2"/>
        <v>-3150</v>
      </c>
      <c r="M72">
        <f t="shared" si="3"/>
        <v>0.88749999999999996</v>
      </c>
      <c r="N72">
        <f t="shared" si="3"/>
        <v>2.5000000000000001E-2</v>
      </c>
      <c r="O72">
        <f t="shared" si="3"/>
        <v>0.05</v>
      </c>
    </row>
    <row r="73" spans="1:15" x14ac:dyDescent="0.25">
      <c r="A73" s="6">
        <v>975</v>
      </c>
      <c r="B73" s="4">
        <f t="shared" ref="B73:B103" si="4">FLOOR(A73/60,1)</f>
        <v>16</v>
      </c>
      <c r="C73" s="4">
        <f t="shared" ref="C73:C103" si="5">MOD(A73,60)</f>
        <v>15</v>
      </c>
      <c r="D73" s="4">
        <v>0</v>
      </c>
      <c r="E73" s="4">
        <f>ROUND((-((A73-$A$58)^2)+152100)/152100*5000, 0)</f>
        <v>3336</v>
      </c>
      <c r="F73" s="4">
        <v>100</v>
      </c>
      <c r="G73" s="4">
        <v>200</v>
      </c>
      <c r="H73" s="4">
        <v>600</v>
      </c>
      <c r="I73" s="4">
        <v>1000</v>
      </c>
      <c r="K73" s="1">
        <f>TIME(B73,C73,D73)</f>
        <v>0.67708333333333337</v>
      </c>
      <c r="L73">
        <f t="shared" ref="L73:L103" si="6">H73-E73-G73</f>
        <v>-2936</v>
      </c>
      <c r="M73">
        <f t="shared" ref="M73:O103" si="7">E73/1000*0.25</f>
        <v>0.83399999999999996</v>
      </c>
      <c r="N73">
        <f t="shared" si="7"/>
        <v>2.5000000000000001E-2</v>
      </c>
      <c r="O73">
        <f t="shared" si="7"/>
        <v>0.05</v>
      </c>
    </row>
    <row r="74" spans="1:15" x14ac:dyDescent="0.25">
      <c r="A74" s="6">
        <v>990</v>
      </c>
      <c r="B74" s="4">
        <f t="shared" si="4"/>
        <v>16</v>
      </c>
      <c r="C74" s="4">
        <f t="shared" si="5"/>
        <v>30</v>
      </c>
      <c r="D74" s="4">
        <v>0</v>
      </c>
      <c r="E74" s="4">
        <f>ROUND((-((A74-$A$58)^2)+152100)/152100*5000, 0)</f>
        <v>3107</v>
      </c>
      <c r="F74" s="4">
        <v>100</v>
      </c>
      <c r="G74" s="4">
        <v>200</v>
      </c>
      <c r="H74" s="4">
        <v>700</v>
      </c>
      <c r="I74" s="4">
        <v>1000</v>
      </c>
      <c r="K74" s="1">
        <f>TIME(B74,C74,D74)</f>
        <v>0.6875</v>
      </c>
      <c r="L74">
        <f t="shared" si="6"/>
        <v>-2607</v>
      </c>
      <c r="M74">
        <f t="shared" si="7"/>
        <v>0.77675000000000005</v>
      </c>
      <c r="N74">
        <f t="shared" si="7"/>
        <v>2.5000000000000001E-2</v>
      </c>
      <c r="O74">
        <f t="shared" si="7"/>
        <v>0.05</v>
      </c>
    </row>
    <row r="75" spans="1:15" x14ac:dyDescent="0.25">
      <c r="A75" s="6">
        <v>1005</v>
      </c>
      <c r="B75" s="4">
        <f t="shared" si="4"/>
        <v>16</v>
      </c>
      <c r="C75" s="4">
        <f t="shared" si="5"/>
        <v>45</v>
      </c>
      <c r="D75" s="4">
        <v>0</v>
      </c>
      <c r="E75" s="4">
        <f>ROUND((-((A75-$A$58)^2)+152100)/152100*5000, 0)</f>
        <v>2862</v>
      </c>
      <c r="F75" s="4">
        <v>100</v>
      </c>
      <c r="G75" s="4">
        <v>200</v>
      </c>
      <c r="H75" s="4">
        <v>700</v>
      </c>
      <c r="I75" s="4">
        <v>1000</v>
      </c>
      <c r="K75" s="1">
        <f>TIME(B75,C75,D75)</f>
        <v>0.69791666666666663</v>
      </c>
      <c r="L75">
        <f t="shared" si="6"/>
        <v>-2362</v>
      </c>
      <c r="M75">
        <f t="shared" si="7"/>
        <v>0.71550000000000002</v>
      </c>
      <c r="N75">
        <f t="shared" si="7"/>
        <v>2.5000000000000001E-2</v>
      </c>
      <c r="O75">
        <f t="shared" si="7"/>
        <v>0.05</v>
      </c>
    </row>
    <row r="76" spans="1:15" x14ac:dyDescent="0.25">
      <c r="A76" s="6">
        <v>1020</v>
      </c>
      <c r="B76" s="4">
        <f t="shared" si="4"/>
        <v>17</v>
      </c>
      <c r="C76" s="4">
        <f t="shared" si="5"/>
        <v>0</v>
      </c>
      <c r="D76" s="4">
        <v>0</v>
      </c>
      <c r="E76" s="4">
        <f>ROUND((-((A76-$A$58)^2)+152100)/152100*5000, 0)</f>
        <v>2604</v>
      </c>
      <c r="F76" s="4">
        <v>100</v>
      </c>
      <c r="G76" s="4">
        <v>200</v>
      </c>
      <c r="H76" s="4">
        <v>3300</v>
      </c>
      <c r="I76" s="4">
        <v>1000</v>
      </c>
      <c r="K76" s="1">
        <f>TIME(B76,C76,D76)</f>
        <v>0.70833333333333337</v>
      </c>
      <c r="L76">
        <f t="shared" si="6"/>
        <v>496</v>
      </c>
      <c r="M76">
        <f t="shared" si="7"/>
        <v>0.65100000000000002</v>
      </c>
      <c r="N76">
        <f t="shared" si="7"/>
        <v>2.5000000000000001E-2</v>
      </c>
      <c r="O76">
        <f t="shared" si="7"/>
        <v>0.05</v>
      </c>
    </row>
    <row r="77" spans="1:15" x14ac:dyDescent="0.25">
      <c r="A77" s="6">
        <v>1035</v>
      </c>
      <c r="B77" s="4">
        <f t="shared" si="4"/>
        <v>17</v>
      </c>
      <c r="C77" s="4">
        <f t="shared" si="5"/>
        <v>15</v>
      </c>
      <c r="D77" s="4">
        <v>0</v>
      </c>
      <c r="E77" s="4">
        <f>ROUND((-((A77-$A$58)^2)+152100)/152100*5000, 0)</f>
        <v>2330</v>
      </c>
      <c r="F77" s="4">
        <v>100</v>
      </c>
      <c r="G77" s="4">
        <v>200</v>
      </c>
      <c r="H77" s="4">
        <v>3300</v>
      </c>
      <c r="I77" s="4">
        <v>1000</v>
      </c>
      <c r="K77" s="1">
        <f>TIME(B77,C77,D77)</f>
        <v>0.71875</v>
      </c>
      <c r="L77">
        <f t="shared" si="6"/>
        <v>770</v>
      </c>
      <c r="M77">
        <f t="shared" si="7"/>
        <v>0.58250000000000002</v>
      </c>
      <c r="N77">
        <f t="shared" si="7"/>
        <v>2.5000000000000001E-2</v>
      </c>
      <c r="O77">
        <f t="shared" si="7"/>
        <v>0.05</v>
      </c>
    </row>
    <row r="78" spans="1:15" x14ac:dyDescent="0.25">
      <c r="A78" s="6">
        <v>1050</v>
      </c>
      <c r="B78" s="4">
        <f t="shared" si="4"/>
        <v>17</v>
      </c>
      <c r="C78" s="4">
        <f t="shared" si="5"/>
        <v>30</v>
      </c>
      <c r="D78" s="4">
        <v>0</v>
      </c>
      <c r="E78" s="4">
        <f>ROUND((-((A78-$A$58)^2)+152100)/152100*5000, 0)</f>
        <v>2041</v>
      </c>
      <c r="F78" s="4">
        <v>100</v>
      </c>
      <c r="G78" s="4">
        <v>200</v>
      </c>
      <c r="H78" s="4">
        <v>3400</v>
      </c>
      <c r="I78" s="4">
        <v>1000</v>
      </c>
      <c r="K78" s="1">
        <f>TIME(B78,C78,D78)</f>
        <v>0.72916666666666663</v>
      </c>
      <c r="L78">
        <f t="shared" si="6"/>
        <v>1159</v>
      </c>
      <c r="M78">
        <f t="shared" si="7"/>
        <v>0.51024999999999998</v>
      </c>
      <c r="N78">
        <f t="shared" si="7"/>
        <v>2.5000000000000001E-2</v>
      </c>
      <c r="O78">
        <f t="shared" si="7"/>
        <v>0.05</v>
      </c>
    </row>
    <row r="79" spans="1:15" x14ac:dyDescent="0.25">
      <c r="A79" s="6">
        <v>1065</v>
      </c>
      <c r="B79" s="4">
        <f t="shared" si="4"/>
        <v>17</v>
      </c>
      <c r="C79" s="4">
        <f t="shared" si="5"/>
        <v>45</v>
      </c>
      <c r="D79" s="4">
        <v>0</v>
      </c>
      <c r="E79" s="4">
        <f>ROUND((-((A79-$A$58)^2)+152100)/152100*5000, 0)</f>
        <v>1738</v>
      </c>
      <c r="F79" s="4">
        <v>100</v>
      </c>
      <c r="G79" s="4">
        <v>200</v>
      </c>
      <c r="H79" s="4">
        <v>3400</v>
      </c>
      <c r="I79" s="4">
        <v>1000</v>
      </c>
      <c r="K79" s="1">
        <f>TIME(B79,C79,D79)</f>
        <v>0.73958333333333337</v>
      </c>
      <c r="L79">
        <f t="shared" si="6"/>
        <v>1462</v>
      </c>
      <c r="M79">
        <f t="shared" si="7"/>
        <v>0.4345</v>
      </c>
      <c r="N79">
        <f t="shared" si="7"/>
        <v>2.5000000000000001E-2</v>
      </c>
      <c r="O79">
        <f t="shared" si="7"/>
        <v>0.05</v>
      </c>
    </row>
    <row r="80" spans="1:15" x14ac:dyDescent="0.25">
      <c r="A80" s="6">
        <v>1080</v>
      </c>
      <c r="B80" s="4">
        <f t="shared" si="4"/>
        <v>18</v>
      </c>
      <c r="C80" s="4">
        <f t="shared" si="5"/>
        <v>0</v>
      </c>
      <c r="D80" s="4">
        <v>0</v>
      </c>
      <c r="E80" s="4">
        <f>ROUND((-((A80-$A$58)^2)+152100)/152100*5000, 0)</f>
        <v>1420</v>
      </c>
      <c r="F80" s="4">
        <v>100</v>
      </c>
      <c r="G80" s="4">
        <v>200</v>
      </c>
      <c r="H80" s="4">
        <v>800</v>
      </c>
      <c r="I80" s="4">
        <v>3000</v>
      </c>
      <c r="K80" s="1">
        <f>TIME(B80,C80,D80)</f>
        <v>0.75</v>
      </c>
      <c r="L80">
        <f t="shared" si="6"/>
        <v>-820</v>
      </c>
      <c r="M80">
        <f t="shared" si="7"/>
        <v>0.35499999999999998</v>
      </c>
      <c r="N80">
        <f t="shared" si="7"/>
        <v>2.5000000000000001E-2</v>
      </c>
      <c r="O80">
        <f t="shared" si="7"/>
        <v>0.05</v>
      </c>
    </row>
    <row r="81" spans="1:15" x14ac:dyDescent="0.25">
      <c r="A81" s="6">
        <v>1095</v>
      </c>
      <c r="B81" s="4">
        <f t="shared" si="4"/>
        <v>18</v>
      </c>
      <c r="C81" s="4">
        <f t="shared" si="5"/>
        <v>15</v>
      </c>
      <c r="D81" s="4">
        <v>0</v>
      </c>
      <c r="E81" s="4">
        <f>ROUND((-((A81-$A$58)^2)+152100)/152100*5000, 0)</f>
        <v>1087</v>
      </c>
      <c r="F81" s="4">
        <v>100</v>
      </c>
      <c r="G81" s="4">
        <v>200</v>
      </c>
      <c r="H81" s="4">
        <v>800</v>
      </c>
      <c r="I81" s="4">
        <v>3000</v>
      </c>
      <c r="K81" s="1">
        <f>TIME(B81,C81,D81)</f>
        <v>0.76041666666666663</v>
      </c>
      <c r="L81">
        <f t="shared" si="6"/>
        <v>-487</v>
      </c>
      <c r="M81">
        <f t="shared" si="7"/>
        <v>0.27174999999999999</v>
      </c>
      <c r="N81">
        <f t="shared" si="7"/>
        <v>2.5000000000000001E-2</v>
      </c>
      <c r="O81">
        <f t="shared" si="7"/>
        <v>0.05</v>
      </c>
    </row>
    <row r="82" spans="1:15" x14ac:dyDescent="0.25">
      <c r="A82" s="6">
        <v>1110</v>
      </c>
      <c r="B82" s="4">
        <f t="shared" si="4"/>
        <v>18</v>
      </c>
      <c r="C82" s="4">
        <f t="shared" si="5"/>
        <v>30</v>
      </c>
      <c r="D82" s="4">
        <v>0</v>
      </c>
      <c r="E82" s="4">
        <f>ROUND((-((A82-$A$58)^2)+152100)/152100*5000, 0)</f>
        <v>740</v>
      </c>
      <c r="F82" s="4">
        <v>100</v>
      </c>
      <c r="G82" s="4">
        <v>200</v>
      </c>
      <c r="H82" s="4">
        <v>900</v>
      </c>
      <c r="I82" s="4">
        <v>3000</v>
      </c>
      <c r="K82" s="1">
        <f>TIME(B82,C82,D82)</f>
        <v>0.77083333333333337</v>
      </c>
      <c r="L82">
        <f t="shared" si="6"/>
        <v>-40</v>
      </c>
      <c r="M82">
        <f t="shared" si="7"/>
        <v>0.185</v>
      </c>
      <c r="N82">
        <f t="shared" si="7"/>
        <v>2.5000000000000001E-2</v>
      </c>
      <c r="O82">
        <f t="shared" si="7"/>
        <v>0.05</v>
      </c>
    </row>
    <row r="83" spans="1:15" x14ac:dyDescent="0.25">
      <c r="A83" s="6">
        <v>1125</v>
      </c>
      <c r="B83" s="4">
        <f t="shared" si="4"/>
        <v>18</v>
      </c>
      <c r="C83" s="4">
        <f t="shared" si="5"/>
        <v>45</v>
      </c>
      <c r="D83" s="4">
        <v>0</v>
      </c>
      <c r="E83" s="4">
        <f>ROUND((-((A83-$A$58)^2)+152100)/152100*5000, 0)</f>
        <v>377</v>
      </c>
      <c r="F83" s="4">
        <v>100</v>
      </c>
      <c r="G83" s="4">
        <v>200</v>
      </c>
      <c r="H83" s="4">
        <v>900</v>
      </c>
      <c r="I83" s="4">
        <v>3000</v>
      </c>
      <c r="K83" s="1">
        <f>TIME(B83,C83,D83)</f>
        <v>0.78125</v>
      </c>
      <c r="L83">
        <f t="shared" si="6"/>
        <v>323</v>
      </c>
      <c r="M83">
        <f t="shared" si="7"/>
        <v>9.425E-2</v>
      </c>
      <c r="N83">
        <f t="shared" si="7"/>
        <v>2.5000000000000001E-2</v>
      </c>
      <c r="O83">
        <f t="shared" si="7"/>
        <v>0.05</v>
      </c>
    </row>
    <row r="84" spans="1:15" x14ac:dyDescent="0.25">
      <c r="A84" s="6">
        <v>1140</v>
      </c>
      <c r="B84" s="4">
        <f t="shared" si="4"/>
        <v>19</v>
      </c>
      <c r="C84" s="4">
        <f t="shared" si="5"/>
        <v>0</v>
      </c>
      <c r="D84" s="4">
        <v>0</v>
      </c>
      <c r="E84" s="4">
        <f>ROUND((-((A84-$A$58)^2)+152100)/152100*5000, 0)</f>
        <v>0</v>
      </c>
      <c r="F84" s="4">
        <v>100</v>
      </c>
      <c r="G84" s="4">
        <v>200</v>
      </c>
      <c r="H84" s="4">
        <v>800</v>
      </c>
      <c r="I84" s="4">
        <v>1000</v>
      </c>
      <c r="K84" s="1">
        <f>TIME(B84,C84,D84)</f>
        <v>0.79166666666666663</v>
      </c>
      <c r="L84">
        <f t="shared" si="6"/>
        <v>600</v>
      </c>
      <c r="M84">
        <f t="shared" si="7"/>
        <v>0</v>
      </c>
      <c r="N84">
        <f t="shared" si="7"/>
        <v>2.5000000000000001E-2</v>
      </c>
      <c r="O84">
        <f t="shared" si="7"/>
        <v>0.05</v>
      </c>
    </row>
    <row r="85" spans="1:15" x14ac:dyDescent="0.25">
      <c r="A85" s="6">
        <v>1155</v>
      </c>
      <c r="B85" s="4">
        <f t="shared" si="4"/>
        <v>19</v>
      </c>
      <c r="C85" s="4">
        <f t="shared" si="5"/>
        <v>15</v>
      </c>
      <c r="D85" s="4">
        <v>0</v>
      </c>
      <c r="E85" s="4">
        <v>0</v>
      </c>
      <c r="F85" s="4">
        <v>100</v>
      </c>
      <c r="G85" s="4">
        <v>200</v>
      </c>
      <c r="H85" s="4">
        <v>800</v>
      </c>
      <c r="I85" s="4">
        <v>1000</v>
      </c>
      <c r="K85" s="1">
        <f>TIME(B85,C85,D85)</f>
        <v>0.80208333333333337</v>
      </c>
      <c r="L85">
        <f t="shared" si="6"/>
        <v>600</v>
      </c>
      <c r="M85">
        <f t="shared" si="7"/>
        <v>0</v>
      </c>
      <c r="N85">
        <f t="shared" si="7"/>
        <v>2.5000000000000001E-2</v>
      </c>
      <c r="O85">
        <f t="shared" si="7"/>
        <v>0.05</v>
      </c>
    </row>
    <row r="86" spans="1:15" x14ac:dyDescent="0.25">
      <c r="A86" s="6">
        <v>1170</v>
      </c>
      <c r="B86" s="4">
        <f t="shared" si="4"/>
        <v>19</v>
      </c>
      <c r="C86" s="4">
        <f t="shared" si="5"/>
        <v>30</v>
      </c>
      <c r="D86" s="4">
        <v>0</v>
      </c>
      <c r="E86" s="4">
        <v>0</v>
      </c>
      <c r="F86" s="4">
        <v>100</v>
      </c>
      <c r="G86" s="4">
        <v>200</v>
      </c>
      <c r="H86" s="4">
        <v>900</v>
      </c>
      <c r="I86" s="4">
        <v>1000</v>
      </c>
      <c r="K86" s="1">
        <f>TIME(B86,C86,D86)</f>
        <v>0.8125</v>
      </c>
      <c r="L86">
        <f t="shared" si="6"/>
        <v>700</v>
      </c>
      <c r="M86">
        <f t="shared" si="7"/>
        <v>0</v>
      </c>
      <c r="N86">
        <f t="shared" si="7"/>
        <v>2.5000000000000001E-2</v>
      </c>
      <c r="O86">
        <f t="shared" si="7"/>
        <v>0.05</v>
      </c>
    </row>
    <row r="87" spans="1:15" x14ac:dyDescent="0.25">
      <c r="A87" s="6">
        <v>1185</v>
      </c>
      <c r="B87" s="4">
        <f t="shared" si="4"/>
        <v>19</v>
      </c>
      <c r="C87" s="4">
        <f t="shared" si="5"/>
        <v>45</v>
      </c>
      <c r="D87" s="4">
        <v>0</v>
      </c>
      <c r="E87" s="4">
        <v>0</v>
      </c>
      <c r="F87" s="4">
        <v>100</v>
      </c>
      <c r="G87" s="4">
        <v>200</v>
      </c>
      <c r="H87" s="4">
        <v>900</v>
      </c>
      <c r="I87" s="4">
        <v>1000</v>
      </c>
      <c r="K87" s="1">
        <f>TIME(B87,C87,D87)</f>
        <v>0.82291666666666663</v>
      </c>
      <c r="L87">
        <f t="shared" si="6"/>
        <v>700</v>
      </c>
      <c r="M87">
        <f t="shared" si="7"/>
        <v>0</v>
      </c>
      <c r="N87">
        <f t="shared" si="7"/>
        <v>2.5000000000000001E-2</v>
      </c>
      <c r="O87">
        <f t="shared" si="7"/>
        <v>0.05</v>
      </c>
    </row>
    <row r="88" spans="1:15" x14ac:dyDescent="0.25">
      <c r="A88" s="6">
        <v>1200</v>
      </c>
      <c r="B88" s="4">
        <f t="shared" si="4"/>
        <v>20</v>
      </c>
      <c r="C88" s="4">
        <f t="shared" si="5"/>
        <v>0</v>
      </c>
      <c r="D88" s="4">
        <v>0</v>
      </c>
      <c r="E88" s="4">
        <v>0</v>
      </c>
      <c r="F88" s="4">
        <v>100</v>
      </c>
      <c r="G88" s="4">
        <v>200</v>
      </c>
      <c r="H88" s="4">
        <v>800</v>
      </c>
      <c r="I88" s="4">
        <v>1000</v>
      </c>
      <c r="K88" s="1">
        <f>TIME(B88,C88,D88)</f>
        <v>0.83333333333333337</v>
      </c>
      <c r="L88">
        <f t="shared" si="6"/>
        <v>600</v>
      </c>
      <c r="M88">
        <f t="shared" si="7"/>
        <v>0</v>
      </c>
      <c r="N88">
        <f t="shared" si="7"/>
        <v>2.5000000000000001E-2</v>
      </c>
      <c r="O88">
        <f t="shared" si="7"/>
        <v>0.05</v>
      </c>
    </row>
    <row r="89" spans="1:15" x14ac:dyDescent="0.25">
      <c r="A89" s="6">
        <v>1215</v>
      </c>
      <c r="B89" s="4">
        <f t="shared" si="4"/>
        <v>20</v>
      </c>
      <c r="C89" s="4">
        <f t="shared" si="5"/>
        <v>15</v>
      </c>
      <c r="D89" s="4">
        <v>0</v>
      </c>
      <c r="E89" s="4">
        <v>0</v>
      </c>
      <c r="F89" s="4">
        <v>100</v>
      </c>
      <c r="G89" s="4">
        <v>200</v>
      </c>
      <c r="H89" s="4">
        <v>800</v>
      </c>
      <c r="I89" s="4">
        <v>1000</v>
      </c>
      <c r="K89" s="1">
        <f>TIME(B89,C89,D89)</f>
        <v>0.84375</v>
      </c>
      <c r="L89">
        <f t="shared" si="6"/>
        <v>600</v>
      </c>
      <c r="M89">
        <f t="shared" si="7"/>
        <v>0</v>
      </c>
      <c r="N89">
        <f t="shared" si="7"/>
        <v>2.5000000000000001E-2</v>
      </c>
      <c r="O89">
        <f t="shared" si="7"/>
        <v>0.05</v>
      </c>
    </row>
    <row r="90" spans="1:15" x14ac:dyDescent="0.25">
      <c r="A90" s="6">
        <v>1230</v>
      </c>
      <c r="B90" s="4">
        <f t="shared" si="4"/>
        <v>20</v>
      </c>
      <c r="C90" s="4">
        <f t="shared" si="5"/>
        <v>30</v>
      </c>
      <c r="D90" s="4">
        <v>0</v>
      </c>
      <c r="E90" s="4">
        <v>0</v>
      </c>
      <c r="F90" s="4">
        <v>100</v>
      </c>
      <c r="G90" s="4">
        <v>200</v>
      </c>
      <c r="H90" s="4">
        <v>900</v>
      </c>
      <c r="I90" s="4">
        <v>1000</v>
      </c>
      <c r="K90" s="1">
        <f>TIME(B90,C90,D90)</f>
        <v>0.85416666666666663</v>
      </c>
      <c r="L90">
        <f t="shared" si="6"/>
        <v>700</v>
      </c>
      <c r="M90">
        <f t="shared" si="7"/>
        <v>0</v>
      </c>
      <c r="N90">
        <f t="shared" si="7"/>
        <v>2.5000000000000001E-2</v>
      </c>
      <c r="O90">
        <f t="shared" si="7"/>
        <v>0.05</v>
      </c>
    </row>
    <row r="91" spans="1:15" x14ac:dyDescent="0.25">
      <c r="A91" s="6">
        <v>1245</v>
      </c>
      <c r="B91" s="4">
        <f t="shared" si="4"/>
        <v>20</v>
      </c>
      <c r="C91" s="4">
        <f t="shared" si="5"/>
        <v>45</v>
      </c>
      <c r="D91" s="4">
        <v>0</v>
      </c>
      <c r="E91" s="4">
        <v>0</v>
      </c>
      <c r="F91" s="4">
        <v>100</v>
      </c>
      <c r="G91" s="4">
        <v>200</v>
      </c>
      <c r="H91" s="4">
        <v>900</v>
      </c>
      <c r="I91" s="4">
        <v>1000</v>
      </c>
      <c r="K91" s="1">
        <f>TIME(B91,C91,D91)</f>
        <v>0.86458333333333337</v>
      </c>
      <c r="L91">
        <f t="shared" si="6"/>
        <v>700</v>
      </c>
      <c r="M91">
        <f t="shared" si="7"/>
        <v>0</v>
      </c>
      <c r="N91">
        <f t="shared" si="7"/>
        <v>2.5000000000000001E-2</v>
      </c>
      <c r="O91">
        <f t="shared" si="7"/>
        <v>0.05</v>
      </c>
    </row>
    <row r="92" spans="1:15" x14ac:dyDescent="0.25">
      <c r="A92" s="6">
        <v>1260</v>
      </c>
      <c r="B92" s="4">
        <f t="shared" si="4"/>
        <v>21</v>
      </c>
      <c r="C92" s="4">
        <f t="shared" si="5"/>
        <v>0</v>
      </c>
      <c r="D92" s="4">
        <v>0</v>
      </c>
      <c r="E92" s="4">
        <v>0</v>
      </c>
      <c r="F92" s="4">
        <v>100</v>
      </c>
      <c r="G92" s="4">
        <v>200</v>
      </c>
      <c r="H92" s="4">
        <v>800</v>
      </c>
      <c r="I92" s="4">
        <v>500</v>
      </c>
      <c r="K92" s="1">
        <f>TIME(B92,C92,D92)</f>
        <v>0.875</v>
      </c>
      <c r="L92">
        <f t="shared" si="6"/>
        <v>600</v>
      </c>
      <c r="M92">
        <f t="shared" si="7"/>
        <v>0</v>
      </c>
      <c r="N92">
        <f t="shared" si="7"/>
        <v>2.5000000000000001E-2</v>
      </c>
      <c r="O92">
        <f t="shared" si="7"/>
        <v>0.05</v>
      </c>
    </row>
    <row r="93" spans="1:15" x14ac:dyDescent="0.25">
      <c r="A93" s="6">
        <v>1275</v>
      </c>
      <c r="B93" s="4">
        <f t="shared" si="4"/>
        <v>21</v>
      </c>
      <c r="C93" s="4">
        <f t="shared" si="5"/>
        <v>15</v>
      </c>
      <c r="D93" s="4">
        <v>0</v>
      </c>
      <c r="E93" s="4">
        <v>0</v>
      </c>
      <c r="F93" s="4">
        <v>100</v>
      </c>
      <c r="G93" s="4">
        <v>200</v>
      </c>
      <c r="H93" s="4">
        <v>800</v>
      </c>
      <c r="I93" s="4">
        <v>500</v>
      </c>
      <c r="K93" s="1">
        <f>TIME(B93,C93,D93)</f>
        <v>0.88541666666666663</v>
      </c>
      <c r="L93">
        <f t="shared" si="6"/>
        <v>600</v>
      </c>
      <c r="M93">
        <f t="shared" si="7"/>
        <v>0</v>
      </c>
      <c r="N93">
        <f t="shared" si="7"/>
        <v>2.5000000000000001E-2</v>
      </c>
      <c r="O93">
        <f t="shared" si="7"/>
        <v>0.05</v>
      </c>
    </row>
    <row r="94" spans="1:15" x14ac:dyDescent="0.25">
      <c r="A94" s="6">
        <v>1290</v>
      </c>
      <c r="B94" s="4">
        <f t="shared" si="4"/>
        <v>21</v>
      </c>
      <c r="C94" s="4">
        <f t="shared" si="5"/>
        <v>30</v>
      </c>
      <c r="D94" s="4">
        <v>0</v>
      </c>
      <c r="E94" s="4">
        <v>0</v>
      </c>
      <c r="F94" s="4">
        <v>100</v>
      </c>
      <c r="G94" s="4">
        <v>200</v>
      </c>
      <c r="H94" s="4">
        <v>900</v>
      </c>
      <c r="I94" s="4">
        <v>500</v>
      </c>
      <c r="K94" s="1">
        <f>TIME(B94,C94,D94)</f>
        <v>0.89583333333333337</v>
      </c>
      <c r="L94">
        <f t="shared" si="6"/>
        <v>700</v>
      </c>
      <c r="M94">
        <f t="shared" si="7"/>
        <v>0</v>
      </c>
      <c r="N94">
        <f t="shared" si="7"/>
        <v>2.5000000000000001E-2</v>
      </c>
      <c r="O94">
        <f t="shared" si="7"/>
        <v>0.05</v>
      </c>
    </row>
    <row r="95" spans="1:15" x14ac:dyDescent="0.25">
      <c r="A95" s="6">
        <v>1305</v>
      </c>
      <c r="B95" s="4">
        <f t="shared" si="4"/>
        <v>21</v>
      </c>
      <c r="C95" s="4">
        <f t="shared" si="5"/>
        <v>45</v>
      </c>
      <c r="D95" s="4">
        <v>0</v>
      </c>
      <c r="E95" s="4">
        <v>0</v>
      </c>
      <c r="F95" s="4">
        <v>100</v>
      </c>
      <c r="G95" s="4">
        <v>200</v>
      </c>
      <c r="H95" s="4">
        <v>900</v>
      </c>
      <c r="I95" s="4">
        <v>500</v>
      </c>
      <c r="K95" s="1">
        <f>TIME(B95,C95,D95)</f>
        <v>0.90625</v>
      </c>
      <c r="L95">
        <f t="shared" si="6"/>
        <v>700</v>
      </c>
      <c r="M95">
        <f t="shared" si="7"/>
        <v>0</v>
      </c>
      <c r="N95">
        <f t="shared" si="7"/>
        <v>2.5000000000000001E-2</v>
      </c>
      <c r="O95">
        <f t="shared" si="7"/>
        <v>0.05</v>
      </c>
    </row>
    <row r="96" spans="1:15" x14ac:dyDescent="0.25">
      <c r="A96" s="6">
        <v>1320</v>
      </c>
      <c r="B96" s="4">
        <f t="shared" si="4"/>
        <v>22</v>
      </c>
      <c r="C96" s="4">
        <f t="shared" si="5"/>
        <v>0</v>
      </c>
      <c r="D96" s="4">
        <v>0</v>
      </c>
      <c r="E96" s="4">
        <v>0</v>
      </c>
      <c r="F96" s="4">
        <v>100</v>
      </c>
      <c r="G96" s="4">
        <v>200</v>
      </c>
      <c r="H96" s="4">
        <v>800</v>
      </c>
      <c r="I96" s="4">
        <v>500</v>
      </c>
      <c r="K96" s="1">
        <f>TIME(B96,C96,D96)</f>
        <v>0.91666666666666663</v>
      </c>
      <c r="L96">
        <f t="shared" si="6"/>
        <v>600</v>
      </c>
      <c r="M96">
        <f t="shared" si="7"/>
        <v>0</v>
      </c>
      <c r="N96">
        <f t="shared" si="7"/>
        <v>2.5000000000000001E-2</v>
      </c>
      <c r="O96">
        <f t="shared" si="7"/>
        <v>0.05</v>
      </c>
    </row>
    <row r="97" spans="1:15" x14ac:dyDescent="0.25">
      <c r="A97" s="6">
        <v>1335</v>
      </c>
      <c r="B97" s="4">
        <f t="shared" si="4"/>
        <v>22</v>
      </c>
      <c r="C97" s="4">
        <f t="shared" si="5"/>
        <v>15</v>
      </c>
      <c r="D97" s="4">
        <v>0</v>
      </c>
      <c r="E97" s="4">
        <v>0</v>
      </c>
      <c r="F97" s="4">
        <v>100</v>
      </c>
      <c r="G97" s="4">
        <v>200</v>
      </c>
      <c r="H97" s="4">
        <v>800</v>
      </c>
      <c r="I97" s="4">
        <v>500</v>
      </c>
      <c r="K97" s="1">
        <f>TIME(B97,C97,D97)</f>
        <v>0.92708333333333337</v>
      </c>
      <c r="L97">
        <f t="shared" si="6"/>
        <v>600</v>
      </c>
      <c r="M97">
        <f t="shared" si="7"/>
        <v>0</v>
      </c>
      <c r="N97">
        <f t="shared" si="7"/>
        <v>2.5000000000000001E-2</v>
      </c>
      <c r="O97">
        <f t="shared" si="7"/>
        <v>0.05</v>
      </c>
    </row>
    <row r="98" spans="1:15" x14ac:dyDescent="0.25">
      <c r="A98" s="6">
        <v>1350</v>
      </c>
      <c r="B98" s="4">
        <f t="shared" si="4"/>
        <v>22</v>
      </c>
      <c r="C98" s="4">
        <f t="shared" si="5"/>
        <v>30</v>
      </c>
      <c r="D98" s="4">
        <v>0</v>
      </c>
      <c r="E98" s="4">
        <v>0</v>
      </c>
      <c r="F98" s="4">
        <v>100</v>
      </c>
      <c r="G98" s="4">
        <v>200</v>
      </c>
      <c r="H98" s="4">
        <v>900</v>
      </c>
      <c r="I98" s="4">
        <v>500</v>
      </c>
      <c r="K98" s="1">
        <f>TIME(B98,C98,D98)</f>
        <v>0.9375</v>
      </c>
      <c r="L98">
        <f t="shared" si="6"/>
        <v>700</v>
      </c>
      <c r="M98">
        <f t="shared" si="7"/>
        <v>0</v>
      </c>
      <c r="N98">
        <f t="shared" si="7"/>
        <v>2.5000000000000001E-2</v>
      </c>
      <c r="O98">
        <f t="shared" si="7"/>
        <v>0.05</v>
      </c>
    </row>
    <row r="99" spans="1:15" x14ac:dyDescent="0.25">
      <c r="A99" s="6">
        <v>1365</v>
      </c>
      <c r="B99" s="4">
        <f t="shared" si="4"/>
        <v>22</v>
      </c>
      <c r="C99" s="4">
        <f t="shared" si="5"/>
        <v>45</v>
      </c>
      <c r="D99" s="4">
        <v>0</v>
      </c>
      <c r="E99" s="4">
        <v>0</v>
      </c>
      <c r="F99" s="4">
        <v>100</v>
      </c>
      <c r="G99" s="4">
        <v>200</v>
      </c>
      <c r="H99" s="4">
        <v>900</v>
      </c>
      <c r="I99" s="4">
        <v>500</v>
      </c>
      <c r="K99" s="1">
        <f>TIME(B99,C99,D99)</f>
        <v>0.94791666666666663</v>
      </c>
      <c r="L99">
        <f t="shared" si="6"/>
        <v>700</v>
      </c>
      <c r="M99">
        <f t="shared" si="7"/>
        <v>0</v>
      </c>
      <c r="N99">
        <f t="shared" si="7"/>
        <v>2.5000000000000001E-2</v>
      </c>
      <c r="O99">
        <f t="shared" si="7"/>
        <v>0.05</v>
      </c>
    </row>
    <row r="100" spans="1:15" x14ac:dyDescent="0.25">
      <c r="A100" s="6">
        <v>1380</v>
      </c>
      <c r="B100" s="4">
        <f t="shared" si="4"/>
        <v>23</v>
      </c>
      <c r="C100" s="4">
        <f t="shared" si="5"/>
        <v>0</v>
      </c>
      <c r="D100" s="4">
        <v>0</v>
      </c>
      <c r="E100" s="4">
        <v>0</v>
      </c>
      <c r="F100" s="4">
        <v>100</v>
      </c>
      <c r="G100" s="4">
        <v>200</v>
      </c>
      <c r="H100" s="4">
        <v>600</v>
      </c>
      <c r="I100" s="4">
        <v>500</v>
      </c>
      <c r="K100" s="1">
        <f>TIME(B100,C100,D100)</f>
        <v>0.95833333333333337</v>
      </c>
      <c r="L100">
        <f t="shared" si="6"/>
        <v>400</v>
      </c>
      <c r="M100">
        <f t="shared" si="7"/>
        <v>0</v>
      </c>
      <c r="N100">
        <f t="shared" si="7"/>
        <v>2.5000000000000001E-2</v>
      </c>
      <c r="O100">
        <f t="shared" si="7"/>
        <v>0.05</v>
      </c>
    </row>
    <row r="101" spans="1:15" x14ac:dyDescent="0.25">
      <c r="A101" s="6">
        <v>1395</v>
      </c>
      <c r="B101" s="4">
        <f t="shared" si="4"/>
        <v>23</v>
      </c>
      <c r="C101" s="4">
        <f t="shared" si="5"/>
        <v>15</v>
      </c>
      <c r="D101" s="4">
        <v>0</v>
      </c>
      <c r="E101" s="4">
        <v>0</v>
      </c>
      <c r="F101" s="4">
        <v>100</v>
      </c>
      <c r="G101" s="4">
        <v>200</v>
      </c>
      <c r="H101" s="4">
        <v>600</v>
      </c>
      <c r="I101" s="4">
        <v>500</v>
      </c>
      <c r="K101" s="1">
        <f>TIME(B101,C101,D101)</f>
        <v>0.96875</v>
      </c>
      <c r="L101">
        <f t="shared" si="6"/>
        <v>400</v>
      </c>
      <c r="M101">
        <f t="shared" si="7"/>
        <v>0</v>
      </c>
      <c r="N101">
        <f t="shared" si="7"/>
        <v>2.5000000000000001E-2</v>
      </c>
      <c r="O101">
        <f t="shared" si="7"/>
        <v>0.05</v>
      </c>
    </row>
    <row r="102" spans="1:15" x14ac:dyDescent="0.25">
      <c r="A102" s="6">
        <v>1410</v>
      </c>
      <c r="B102" s="4">
        <f t="shared" si="4"/>
        <v>23</v>
      </c>
      <c r="C102" s="4">
        <f t="shared" si="5"/>
        <v>30</v>
      </c>
      <c r="D102" s="4">
        <v>0</v>
      </c>
      <c r="E102" s="4">
        <v>0</v>
      </c>
      <c r="F102" s="4">
        <v>100</v>
      </c>
      <c r="G102" s="4">
        <v>200</v>
      </c>
      <c r="H102" s="4">
        <v>700</v>
      </c>
      <c r="I102" s="4">
        <v>500</v>
      </c>
      <c r="K102" s="1">
        <f>TIME(B102,C102,D102)</f>
        <v>0.97916666666666663</v>
      </c>
      <c r="L102">
        <f t="shared" si="6"/>
        <v>500</v>
      </c>
      <c r="M102">
        <f t="shared" si="7"/>
        <v>0</v>
      </c>
      <c r="N102">
        <f t="shared" si="7"/>
        <v>2.5000000000000001E-2</v>
      </c>
      <c r="O102">
        <f t="shared" si="7"/>
        <v>0.05</v>
      </c>
    </row>
    <row r="103" spans="1:15" x14ac:dyDescent="0.25">
      <c r="A103" s="6">
        <v>1425</v>
      </c>
      <c r="B103" s="4">
        <f t="shared" si="4"/>
        <v>23</v>
      </c>
      <c r="C103" s="4">
        <f t="shared" si="5"/>
        <v>45</v>
      </c>
      <c r="D103" s="4">
        <v>0</v>
      </c>
      <c r="E103" s="4">
        <v>0</v>
      </c>
      <c r="F103" s="4">
        <v>100</v>
      </c>
      <c r="G103" s="4">
        <v>200</v>
      </c>
      <c r="H103" s="4">
        <v>700</v>
      </c>
      <c r="I103" s="4">
        <v>500</v>
      </c>
      <c r="K103" s="1">
        <f>TIME(B103,C103,D103)</f>
        <v>0.98958333333333337</v>
      </c>
      <c r="L103">
        <f t="shared" si="6"/>
        <v>500</v>
      </c>
      <c r="M103">
        <f t="shared" si="7"/>
        <v>0</v>
      </c>
      <c r="N103">
        <f t="shared" si="7"/>
        <v>2.5000000000000001E-2</v>
      </c>
      <c r="O103">
        <f t="shared" si="7"/>
        <v>0.05</v>
      </c>
    </row>
    <row r="105" spans="1:15" x14ac:dyDescent="0.25">
      <c r="A105" s="2"/>
      <c r="B105" s="2"/>
      <c r="C105" s="2"/>
      <c r="D105" s="2"/>
      <c r="E105" s="2"/>
      <c r="F105" s="2"/>
      <c r="G105" s="2"/>
      <c r="H105" s="2"/>
      <c r="I105" s="7">
        <f>SUM(I8:I103)/1000*5/60</f>
        <v>7.666666666666667</v>
      </c>
      <c r="J105" s="2"/>
      <c r="K105" s="2"/>
      <c r="L105" s="2"/>
      <c r="M105" s="7">
        <f>SUM(M8:M103)</f>
        <v>43.317500000000003</v>
      </c>
      <c r="N105" s="7">
        <f t="shared" ref="N105:O105" si="8">SUM(N8:N103)</f>
        <v>2.3999999999999955</v>
      </c>
      <c r="O105" s="7">
        <f t="shared" si="8"/>
        <v>4.7999999999999909</v>
      </c>
    </row>
    <row r="106" spans="1:15" x14ac:dyDescent="0.25">
      <c r="A106" s="2"/>
      <c r="B106" s="2"/>
      <c r="C106" s="2"/>
      <c r="D106" s="2"/>
      <c r="E106" s="2"/>
      <c r="F106" s="2"/>
      <c r="G106" s="2"/>
      <c r="H106" s="2"/>
      <c r="I106" s="2" t="s">
        <v>19</v>
      </c>
      <c r="J106" s="2"/>
      <c r="K106" s="2"/>
      <c r="L106" s="2"/>
      <c r="M106" s="2" t="s">
        <v>12</v>
      </c>
      <c r="N106" s="2" t="s">
        <v>12</v>
      </c>
      <c r="O106" s="2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topLeftCell="A61" workbookViewId="0">
      <selection activeCell="M16" sqref="M16"/>
    </sheetView>
  </sheetViews>
  <sheetFormatPr defaultRowHeight="15" x14ac:dyDescent="0.25"/>
  <sheetData>
    <row r="1" spans="1:9" x14ac:dyDescent="0.25">
      <c r="A1" t="s">
        <v>1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</row>
    <row r="2" spans="1: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100</v>
      </c>
      <c r="G2">
        <v>200</v>
      </c>
      <c r="H2">
        <v>600</v>
      </c>
      <c r="I2">
        <v>500</v>
      </c>
    </row>
    <row r="3" spans="1:9" x14ac:dyDescent="0.25">
      <c r="A3">
        <v>15</v>
      </c>
      <c r="B3">
        <v>0</v>
      </c>
      <c r="C3">
        <v>15</v>
      </c>
      <c r="D3">
        <v>0</v>
      </c>
      <c r="E3">
        <v>0</v>
      </c>
      <c r="F3">
        <v>100</v>
      </c>
      <c r="G3">
        <v>200</v>
      </c>
      <c r="H3">
        <v>600</v>
      </c>
      <c r="I3">
        <v>500</v>
      </c>
    </row>
    <row r="4" spans="1:9" x14ac:dyDescent="0.25">
      <c r="A4">
        <v>30</v>
      </c>
      <c r="B4">
        <v>0</v>
      </c>
      <c r="C4">
        <v>30</v>
      </c>
      <c r="D4">
        <v>0</v>
      </c>
      <c r="E4">
        <v>0</v>
      </c>
      <c r="F4">
        <v>100</v>
      </c>
      <c r="G4">
        <v>200</v>
      </c>
      <c r="H4">
        <v>700</v>
      </c>
      <c r="I4">
        <v>500</v>
      </c>
    </row>
    <row r="5" spans="1:9" x14ac:dyDescent="0.25">
      <c r="A5">
        <v>45</v>
      </c>
      <c r="B5">
        <v>0</v>
      </c>
      <c r="C5">
        <v>45</v>
      </c>
      <c r="D5">
        <v>0</v>
      </c>
      <c r="E5">
        <v>0</v>
      </c>
      <c r="F5">
        <v>100</v>
      </c>
      <c r="G5">
        <v>200</v>
      </c>
      <c r="H5">
        <v>700</v>
      </c>
      <c r="I5">
        <v>500</v>
      </c>
    </row>
    <row r="6" spans="1:9" x14ac:dyDescent="0.25">
      <c r="A6">
        <v>60</v>
      </c>
      <c r="B6">
        <v>1</v>
      </c>
      <c r="C6">
        <v>0</v>
      </c>
      <c r="D6">
        <v>0</v>
      </c>
      <c r="E6">
        <v>0</v>
      </c>
      <c r="F6">
        <v>100</v>
      </c>
      <c r="G6">
        <v>200</v>
      </c>
      <c r="H6">
        <v>600</v>
      </c>
      <c r="I6">
        <v>500</v>
      </c>
    </row>
    <row r="7" spans="1:9" x14ac:dyDescent="0.25">
      <c r="A7">
        <v>75</v>
      </c>
      <c r="B7">
        <v>1</v>
      </c>
      <c r="C7">
        <v>15</v>
      </c>
      <c r="D7">
        <v>0</v>
      </c>
      <c r="E7">
        <v>0</v>
      </c>
      <c r="F7">
        <v>100</v>
      </c>
      <c r="G7">
        <v>200</v>
      </c>
      <c r="H7">
        <v>600</v>
      </c>
      <c r="I7">
        <v>500</v>
      </c>
    </row>
    <row r="8" spans="1:9" x14ac:dyDescent="0.25">
      <c r="A8">
        <v>90</v>
      </c>
      <c r="B8">
        <v>1</v>
      </c>
      <c r="C8">
        <v>30</v>
      </c>
      <c r="D8">
        <v>0</v>
      </c>
      <c r="E8">
        <v>0</v>
      </c>
      <c r="F8">
        <v>100</v>
      </c>
      <c r="G8">
        <v>200</v>
      </c>
      <c r="H8">
        <v>700</v>
      </c>
      <c r="I8">
        <v>500</v>
      </c>
    </row>
    <row r="9" spans="1:9" x14ac:dyDescent="0.25">
      <c r="A9">
        <v>105</v>
      </c>
      <c r="B9">
        <v>1</v>
      </c>
      <c r="C9">
        <v>45</v>
      </c>
      <c r="D9">
        <v>0</v>
      </c>
      <c r="E9">
        <v>0</v>
      </c>
      <c r="F9">
        <v>100</v>
      </c>
      <c r="G9">
        <v>200</v>
      </c>
      <c r="H9">
        <v>700</v>
      </c>
      <c r="I9">
        <v>500</v>
      </c>
    </row>
    <row r="10" spans="1:9" x14ac:dyDescent="0.25">
      <c r="A10">
        <v>120</v>
      </c>
      <c r="B10">
        <v>2</v>
      </c>
      <c r="C10">
        <v>0</v>
      </c>
      <c r="D10">
        <v>0</v>
      </c>
      <c r="E10">
        <v>0</v>
      </c>
      <c r="F10">
        <v>100</v>
      </c>
      <c r="G10">
        <v>200</v>
      </c>
      <c r="H10">
        <v>600</v>
      </c>
      <c r="I10">
        <v>500</v>
      </c>
    </row>
    <row r="11" spans="1:9" x14ac:dyDescent="0.25">
      <c r="A11">
        <v>135</v>
      </c>
      <c r="B11">
        <v>2</v>
      </c>
      <c r="C11">
        <v>15</v>
      </c>
      <c r="D11">
        <v>0</v>
      </c>
      <c r="E11">
        <v>0</v>
      </c>
      <c r="F11">
        <v>100</v>
      </c>
      <c r="G11">
        <v>200</v>
      </c>
      <c r="H11">
        <v>600</v>
      </c>
      <c r="I11">
        <v>500</v>
      </c>
    </row>
    <row r="12" spans="1:9" x14ac:dyDescent="0.25">
      <c r="A12">
        <v>150</v>
      </c>
      <c r="B12">
        <v>2</v>
      </c>
      <c r="C12">
        <v>30</v>
      </c>
      <c r="D12">
        <v>0</v>
      </c>
      <c r="E12">
        <v>0</v>
      </c>
      <c r="F12">
        <v>100</v>
      </c>
      <c r="G12">
        <v>200</v>
      </c>
      <c r="H12">
        <v>700</v>
      </c>
      <c r="I12">
        <v>500</v>
      </c>
    </row>
    <row r="13" spans="1:9" x14ac:dyDescent="0.25">
      <c r="A13">
        <v>165</v>
      </c>
      <c r="B13">
        <v>2</v>
      </c>
      <c r="C13">
        <v>45</v>
      </c>
      <c r="D13">
        <v>0</v>
      </c>
      <c r="E13">
        <v>0</v>
      </c>
      <c r="F13">
        <v>100</v>
      </c>
      <c r="G13">
        <v>200</v>
      </c>
      <c r="H13">
        <v>700</v>
      </c>
      <c r="I13">
        <v>500</v>
      </c>
    </row>
    <row r="14" spans="1:9" x14ac:dyDescent="0.25">
      <c r="A14">
        <v>180</v>
      </c>
      <c r="B14">
        <v>3</v>
      </c>
      <c r="C14">
        <v>0</v>
      </c>
      <c r="D14">
        <v>0</v>
      </c>
      <c r="E14">
        <v>0</v>
      </c>
      <c r="F14">
        <v>100</v>
      </c>
      <c r="G14">
        <v>200</v>
      </c>
      <c r="H14">
        <v>600</v>
      </c>
      <c r="I14">
        <v>500</v>
      </c>
    </row>
    <row r="15" spans="1:9" x14ac:dyDescent="0.25">
      <c r="A15">
        <v>195</v>
      </c>
      <c r="B15">
        <v>3</v>
      </c>
      <c r="C15">
        <v>15</v>
      </c>
      <c r="D15">
        <v>0</v>
      </c>
      <c r="E15">
        <v>0</v>
      </c>
      <c r="F15">
        <v>100</v>
      </c>
      <c r="G15">
        <v>200</v>
      </c>
      <c r="H15">
        <v>600</v>
      </c>
      <c r="I15">
        <v>500</v>
      </c>
    </row>
    <row r="16" spans="1:9" x14ac:dyDescent="0.25">
      <c r="A16">
        <v>210</v>
      </c>
      <c r="B16">
        <v>3</v>
      </c>
      <c r="C16">
        <v>30</v>
      </c>
      <c r="D16">
        <v>0</v>
      </c>
      <c r="E16">
        <v>0</v>
      </c>
      <c r="F16">
        <v>100</v>
      </c>
      <c r="G16">
        <v>200</v>
      </c>
      <c r="H16">
        <v>700</v>
      </c>
      <c r="I16">
        <v>500</v>
      </c>
    </row>
    <row r="17" spans="1:9" x14ac:dyDescent="0.25">
      <c r="A17">
        <v>225</v>
      </c>
      <c r="B17">
        <v>3</v>
      </c>
      <c r="C17">
        <v>45</v>
      </c>
      <c r="D17">
        <v>0</v>
      </c>
      <c r="E17">
        <v>0</v>
      </c>
      <c r="F17">
        <v>100</v>
      </c>
      <c r="G17">
        <v>200</v>
      </c>
      <c r="H17">
        <v>700</v>
      </c>
      <c r="I17">
        <v>500</v>
      </c>
    </row>
    <row r="18" spans="1:9" x14ac:dyDescent="0.25">
      <c r="A18">
        <v>240</v>
      </c>
      <c r="B18">
        <v>4</v>
      </c>
      <c r="C18">
        <v>0</v>
      </c>
      <c r="D18">
        <v>0</v>
      </c>
      <c r="E18">
        <v>0</v>
      </c>
      <c r="F18">
        <v>100</v>
      </c>
      <c r="G18">
        <v>200</v>
      </c>
      <c r="H18">
        <v>600</v>
      </c>
      <c r="I18">
        <v>500</v>
      </c>
    </row>
    <row r="19" spans="1:9" x14ac:dyDescent="0.25">
      <c r="A19">
        <v>255</v>
      </c>
      <c r="B19">
        <v>4</v>
      </c>
      <c r="C19">
        <v>15</v>
      </c>
      <c r="D19">
        <v>0</v>
      </c>
      <c r="E19">
        <v>0</v>
      </c>
      <c r="F19">
        <v>100</v>
      </c>
      <c r="G19">
        <v>200</v>
      </c>
      <c r="H19">
        <v>600</v>
      </c>
      <c r="I19">
        <v>500</v>
      </c>
    </row>
    <row r="20" spans="1:9" x14ac:dyDescent="0.25">
      <c r="A20">
        <v>270</v>
      </c>
      <c r="B20">
        <v>4</v>
      </c>
      <c r="C20">
        <v>30</v>
      </c>
      <c r="D20">
        <v>0</v>
      </c>
      <c r="E20">
        <v>0</v>
      </c>
      <c r="F20">
        <v>100</v>
      </c>
      <c r="G20">
        <v>200</v>
      </c>
      <c r="H20">
        <v>700</v>
      </c>
      <c r="I20">
        <v>500</v>
      </c>
    </row>
    <row r="21" spans="1:9" x14ac:dyDescent="0.25">
      <c r="A21">
        <v>285</v>
      </c>
      <c r="B21">
        <v>4</v>
      </c>
      <c r="C21">
        <v>45</v>
      </c>
      <c r="D21">
        <v>0</v>
      </c>
      <c r="E21">
        <v>0</v>
      </c>
      <c r="F21">
        <v>100</v>
      </c>
      <c r="G21">
        <v>200</v>
      </c>
      <c r="H21">
        <v>700</v>
      </c>
      <c r="I21">
        <v>500</v>
      </c>
    </row>
    <row r="22" spans="1:9" x14ac:dyDescent="0.25">
      <c r="A22">
        <v>300</v>
      </c>
      <c r="B22">
        <v>5</v>
      </c>
      <c r="C22">
        <v>0</v>
      </c>
      <c r="D22">
        <v>0</v>
      </c>
      <c r="E22">
        <v>0</v>
      </c>
      <c r="F22">
        <v>100</v>
      </c>
      <c r="G22">
        <v>200</v>
      </c>
      <c r="H22">
        <v>600</v>
      </c>
      <c r="I22">
        <v>500</v>
      </c>
    </row>
    <row r="23" spans="1:9" x14ac:dyDescent="0.25">
      <c r="A23">
        <v>315</v>
      </c>
      <c r="B23">
        <v>5</v>
      </c>
      <c r="C23">
        <v>15</v>
      </c>
      <c r="D23">
        <v>0</v>
      </c>
      <c r="E23">
        <v>0</v>
      </c>
      <c r="F23">
        <v>100</v>
      </c>
      <c r="G23">
        <v>200</v>
      </c>
      <c r="H23">
        <v>600</v>
      </c>
      <c r="I23">
        <v>500</v>
      </c>
    </row>
    <row r="24" spans="1:9" x14ac:dyDescent="0.25">
      <c r="A24">
        <v>330</v>
      </c>
      <c r="B24">
        <v>5</v>
      </c>
      <c r="C24">
        <v>30</v>
      </c>
      <c r="D24">
        <v>0</v>
      </c>
      <c r="E24">
        <v>0</v>
      </c>
      <c r="F24">
        <v>100</v>
      </c>
      <c r="G24">
        <v>200</v>
      </c>
      <c r="H24">
        <v>700</v>
      </c>
      <c r="I24">
        <v>500</v>
      </c>
    </row>
    <row r="25" spans="1:9" x14ac:dyDescent="0.25">
      <c r="A25">
        <v>345</v>
      </c>
      <c r="B25">
        <v>5</v>
      </c>
      <c r="C25">
        <v>45</v>
      </c>
      <c r="D25">
        <v>0</v>
      </c>
      <c r="E25">
        <v>0</v>
      </c>
      <c r="F25">
        <v>100</v>
      </c>
      <c r="G25">
        <v>200</v>
      </c>
      <c r="H25">
        <v>700</v>
      </c>
      <c r="I25">
        <v>500</v>
      </c>
    </row>
    <row r="26" spans="1:9" x14ac:dyDescent="0.25">
      <c r="A26">
        <v>360</v>
      </c>
      <c r="B26">
        <v>6</v>
      </c>
      <c r="C26">
        <v>0</v>
      </c>
      <c r="D26">
        <v>0</v>
      </c>
      <c r="E26">
        <v>0</v>
      </c>
      <c r="F26">
        <v>0</v>
      </c>
      <c r="G26">
        <v>200</v>
      </c>
      <c r="H26">
        <v>600</v>
      </c>
      <c r="I26">
        <v>500</v>
      </c>
    </row>
    <row r="27" spans="1:9" x14ac:dyDescent="0.25">
      <c r="A27">
        <v>375</v>
      </c>
      <c r="B27">
        <v>6</v>
      </c>
      <c r="C27">
        <v>15</v>
      </c>
      <c r="D27">
        <v>0</v>
      </c>
      <c r="E27">
        <v>377</v>
      </c>
      <c r="F27">
        <v>0</v>
      </c>
      <c r="G27">
        <v>200</v>
      </c>
      <c r="H27">
        <v>600</v>
      </c>
      <c r="I27">
        <v>500</v>
      </c>
    </row>
    <row r="28" spans="1:9" x14ac:dyDescent="0.25">
      <c r="A28">
        <v>390</v>
      </c>
      <c r="B28">
        <v>6</v>
      </c>
      <c r="C28">
        <v>30</v>
      </c>
      <c r="D28">
        <v>0</v>
      </c>
      <c r="E28">
        <v>740</v>
      </c>
      <c r="F28">
        <v>0</v>
      </c>
      <c r="G28">
        <v>200</v>
      </c>
      <c r="H28">
        <v>700</v>
      </c>
      <c r="I28">
        <v>500</v>
      </c>
    </row>
    <row r="29" spans="1:9" x14ac:dyDescent="0.25">
      <c r="A29">
        <v>405</v>
      </c>
      <c r="B29">
        <v>6</v>
      </c>
      <c r="C29">
        <v>45</v>
      </c>
      <c r="D29">
        <v>0</v>
      </c>
      <c r="E29">
        <v>1087</v>
      </c>
      <c r="F29">
        <v>0</v>
      </c>
      <c r="G29">
        <v>200</v>
      </c>
      <c r="H29">
        <v>700</v>
      </c>
      <c r="I29">
        <v>500</v>
      </c>
    </row>
    <row r="30" spans="1:9" x14ac:dyDescent="0.25">
      <c r="A30">
        <v>420</v>
      </c>
      <c r="B30">
        <v>7</v>
      </c>
      <c r="C30">
        <v>0</v>
      </c>
      <c r="D30">
        <v>0</v>
      </c>
      <c r="E30">
        <v>1420</v>
      </c>
      <c r="F30">
        <v>0</v>
      </c>
      <c r="G30">
        <v>200</v>
      </c>
      <c r="H30">
        <v>800</v>
      </c>
      <c r="I30">
        <v>5000</v>
      </c>
    </row>
    <row r="31" spans="1:9" x14ac:dyDescent="0.25">
      <c r="A31">
        <v>435</v>
      </c>
      <c r="B31">
        <v>7</v>
      </c>
      <c r="C31">
        <v>15</v>
      </c>
      <c r="D31">
        <v>0</v>
      </c>
      <c r="E31">
        <v>1738</v>
      </c>
      <c r="F31">
        <v>0</v>
      </c>
      <c r="G31">
        <v>200</v>
      </c>
      <c r="H31">
        <v>800</v>
      </c>
      <c r="I31">
        <v>5000</v>
      </c>
    </row>
    <row r="32" spans="1:9" x14ac:dyDescent="0.25">
      <c r="A32">
        <v>450</v>
      </c>
      <c r="B32">
        <v>7</v>
      </c>
      <c r="C32">
        <v>30</v>
      </c>
      <c r="D32">
        <v>0</v>
      </c>
      <c r="E32">
        <v>2041</v>
      </c>
      <c r="F32">
        <v>0</v>
      </c>
      <c r="G32">
        <v>200</v>
      </c>
      <c r="H32">
        <v>900</v>
      </c>
      <c r="I32">
        <v>1000</v>
      </c>
    </row>
    <row r="33" spans="1:9" x14ac:dyDescent="0.25">
      <c r="A33">
        <v>465</v>
      </c>
      <c r="B33">
        <v>7</v>
      </c>
      <c r="C33">
        <v>45</v>
      </c>
      <c r="D33">
        <v>0</v>
      </c>
      <c r="E33">
        <v>2330</v>
      </c>
      <c r="F33">
        <v>0</v>
      </c>
      <c r="G33">
        <v>200</v>
      </c>
      <c r="H33">
        <v>900</v>
      </c>
      <c r="I33">
        <v>1000</v>
      </c>
    </row>
    <row r="34" spans="1:9" x14ac:dyDescent="0.25">
      <c r="A34">
        <v>480</v>
      </c>
      <c r="B34">
        <v>8</v>
      </c>
      <c r="C34">
        <v>0</v>
      </c>
      <c r="D34">
        <v>0</v>
      </c>
      <c r="E34">
        <v>2604</v>
      </c>
      <c r="F34">
        <v>0</v>
      </c>
      <c r="G34">
        <v>200</v>
      </c>
      <c r="H34">
        <v>800</v>
      </c>
      <c r="I34">
        <v>1000</v>
      </c>
    </row>
    <row r="35" spans="1:9" x14ac:dyDescent="0.25">
      <c r="A35">
        <v>495</v>
      </c>
      <c r="B35">
        <v>8</v>
      </c>
      <c r="C35">
        <v>15</v>
      </c>
      <c r="D35">
        <v>0</v>
      </c>
      <c r="E35">
        <v>2862</v>
      </c>
      <c r="F35">
        <v>0</v>
      </c>
      <c r="G35">
        <v>200</v>
      </c>
      <c r="H35">
        <v>800</v>
      </c>
      <c r="I35">
        <v>1000</v>
      </c>
    </row>
    <row r="36" spans="1:9" x14ac:dyDescent="0.25">
      <c r="A36">
        <v>510</v>
      </c>
      <c r="B36">
        <v>8</v>
      </c>
      <c r="C36">
        <v>30</v>
      </c>
      <c r="D36">
        <v>0</v>
      </c>
      <c r="E36">
        <v>3107</v>
      </c>
      <c r="F36">
        <v>0</v>
      </c>
      <c r="G36">
        <v>200</v>
      </c>
      <c r="H36">
        <v>900</v>
      </c>
      <c r="I36">
        <v>1000</v>
      </c>
    </row>
    <row r="37" spans="1:9" x14ac:dyDescent="0.25">
      <c r="A37">
        <v>525</v>
      </c>
      <c r="B37">
        <v>8</v>
      </c>
      <c r="C37">
        <v>45</v>
      </c>
      <c r="D37">
        <v>0</v>
      </c>
      <c r="E37">
        <v>3336</v>
      </c>
      <c r="F37">
        <v>0</v>
      </c>
      <c r="G37">
        <v>200</v>
      </c>
      <c r="H37">
        <v>900</v>
      </c>
      <c r="I37">
        <v>1000</v>
      </c>
    </row>
    <row r="38" spans="1:9" x14ac:dyDescent="0.25">
      <c r="A38">
        <v>540</v>
      </c>
      <c r="B38">
        <v>9</v>
      </c>
      <c r="C38">
        <v>0</v>
      </c>
      <c r="D38">
        <v>0</v>
      </c>
      <c r="E38">
        <v>3550</v>
      </c>
      <c r="F38">
        <v>0</v>
      </c>
      <c r="G38">
        <v>200</v>
      </c>
      <c r="H38">
        <v>600</v>
      </c>
      <c r="I38">
        <v>1000</v>
      </c>
    </row>
    <row r="39" spans="1:9" x14ac:dyDescent="0.25">
      <c r="A39">
        <v>555</v>
      </c>
      <c r="B39">
        <v>9</v>
      </c>
      <c r="C39">
        <v>15</v>
      </c>
      <c r="D39">
        <v>0</v>
      </c>
      <c r="E39">
        <v>3750</v>
      </c>
      <c r="F39">
        <v>0</v>
      </c>
      <c r="G39">
        <v>200</v>
      </c>
      <c r="H39">
        <v>600</v>
      </c>
      <c r="I39">
        <v>1000</v>
      </c>
    </row>
    <row r="40" spans="1:9" x14ac:dyDescent="0.25">
      <c r="A40">
        <v>570</v>
      </c>
      <c r="B40">
        <v>9</v>
      </c>
      <c r="C40">
        <v>30</v>
      </c>
      <c r="D40">
        <v>0</v>
      </c>
      <c r="E40">
        <v>3935</v>
      </c>
      <c r="F40">
        <v>0</v>
      </c>
      <c r="G40">
        <v>200</v>
      </c>
      <c r="H40">
        <v>700</v>
      </c>
      <c r="I40">
        <v>1000</v>
      </c>
    </row>
    <row r="41" spans="1:9" x14ac:dyDescent="0.25">
      <c r="A41">
        <v>585</v>
      </c>
      <c r="B41">
        <v>9</v>
      </c>
      <c r="C41">
        <v>45</v>
      </c>
      <c r="D41">
        <v>0</v>
      </c>
      <c r="E41">
        <v>4105</v>
      </c>
      <c r="F41">
        <v>0</v>
      </c>
      <c r="G41">
        <v>200</v>
      </c>
      <c r="H41">
        <v>700</v>
      </c>
      <c r="I41">
        <v>1000</v>
      </c>
    </row>
    <row r="42" spans="1:9" x14ac:dyDescent="0.25">
      <c r="A42">
        <v>600</v>
      </c>
      <c r="B42">
        <v>10</v>
      </c>
      <c r="C42">
        <v>0</v>
      </c>
      <c r="D42">
        <v>0</v>
      </c>
      <c r="E42">
        <v>4260</v>
      </c>
      <c r="F42">
        <v>0</v>
      </c>
      <c r="G42">
        <v>200</v>
      </c>
      <c r="H42">
        <v>600</v>
      </c>
      <c r="I42">
        <v>1000</v>
      </c>
    </row>
    <row r="43" spans="1:9" x14ac:dyDescent="0.25">
      <c r="A43">
        <v>615</v>
      </c>
      <c r="B43">
        <v>10</v>
      </c>
      <c r="C43">
        <v>15</v>
      </c>
      <c r="D43">
        <v>0</v>
      </c>
      <c r="E43">
        <v>4401</v>
      </c>
      <c r="F43">
        <v>0</v>
      </c>
      <c r="G43">
        <v>200</v>
      </c>
      <c r="H43">
        <v>600</v>
      </c>
      <c r="I43">
        <v>1000</v>
      </c>
    </row>
    <row r="44" spans="1:9" x14ac:dyDescent="0.25">
      <c r="A44">
        <v>630</v>
      </c>
      <c r="B44">
        <v>10</v>
      </c>
      <c r="C44">
        <v>30</v>
      </c>
      <c r="D44">
        <v>0</v>
      </c>
      <c r="E44">
        <v>4527</v>
      </c>
      <c r="F44">
        <v>0</v>
      </c>
      <c r="G44">
        <v>200</v>
      </c>
      <c r="H44">
        <v>700</v>
      </c>
      <c r="I44">
        <v>1000</v>
      </c>
    </row>
    <row r="45" spans="1:9" x14ac:dyDescent="0.25">
      <c r="A45">
        <v>645</v>
      </c>
      <c r="B45">
        <v>10</v>
      </c>
      <c r="C45">
        <v>45</v>
      </c>
      <c r="D45">
        <v>0</v>
      </c>
      <c r="E45">
        <v>4638</v>
      </c>
      <c r="F45">
        <v>0</v>
      </c>
      <c r="G45">
        <v>200</v>
      </c>
      <c r="H45">
        <v>700</v>
      </c>
      <c r="I45">
        <v>1000</v>
      </c>
    </row>
    <row r="46" spans="1:9" x14ac:dyDescent="0.25">
      <c r="A46">
        <v>660</v>
      </c>
      <c r="B46">
        <v>11</v>
      </c>
      <c r="C46">
        <v>0</v>
      </c>
      <c r="D46">
        <v>0</v>
      </c>
      <c r="E46">
        <v>4734</v>
      </c>
      <c r="F46">
        <v>0</v>
      </c>
      <c r="G46">
        <v>200</v>
      </c>
      <c r="H46">
        <v>600</v>
      </c>
      <c r="I46">
        <v>1000</v>
      </c>
    </row>
    <row r="47" spans="1:9" x14ac:dyDescent="0.25">
      <c r="A47">
        <v>675</v>
      </c>
      <c r="B47">
        <v>11</v>
      </c>
      <c r="C47">
        <v>15</v>
      </c>
      <c r="D47">
        <v>0</v>
      </c>
      <c r="E47">
        <v>4815</v>
      </c>
      <c r="F47">
        <v>0</v>
      </c>
      <c r="G47">
        <v>200</v>
      </c>
      <c r="H47">
        <v>600</v>
      </c>
      <c r="I47">
        <v>1000</v>
      </c>
    </row>
    <row r="48" spans="1:9" x14ac:dyDescent="0.25">
      <c r="A48">
        <v>690</v>
      </c>
      <c r="B48">
        <v>11</v>
      </c>
      <c r="C48">
        <v>30</v>
      </c>
      <c r="D48">
        <v>0</v>
      </c>
      <c r="E48">
        <v>4882</v>
      </c>
      <c r="F48">
        <v>0</v>
      </c>
      <c r="G48">
        <v>200</v>
      </c>
      <c r="H48">
        <v>700</v>
      </c>
      <c r="I48">
        <v>1000</v>
      </c>
    </row>
    <row r="49" spans="1:9" x14ac:dyDescent="0.25">
      <c r="A49">
        <v>705</v>
      </c>
      <c r="B49">
        <v>11</v>
      </c>
      <c r="C49">
        <v>45</v>
      </c>
      <c r="D49">
        <v>0</v>
      </c>
      <c r="E49">
        <v>4933</v>
      </c>
      <c r="F49">
        <v>0</v>
      </c>
      <c r="G49">
        <v>200</v>
      </c>
      <c r="H49">
        <v>700</v>
      </c>
      <c r="I49">
        <v>1000</v>
      </c>
    </row>
    <row r="50" spans="1:9" x14ac:dyDescent="0.25">
      <c r="A50">
        <v>720</v>
      </c>
      <c r="B50">
        <v>12</v>
      </c>
      <c r="C50">
        <v>0</v>
      </c>
      <c r="D50">
        <v>0</v>
      </c>
      <c r="E50">
        <v>4970</v>
      </c>
      <c r="F50">
        <v>0</v>
      </c>
      <c r="G50">
        <v>200</v>
      </c>
      <c r="H50">
        <v>600</v>
      </c>
      <c r="I50">
        <v>1000</v>
      </c>
    </row>
    <row r="51" spans="1:9" x14ac:dyDescent="0.25">
      <c r="A51">
        <v>735</v>
      </c>
      <c r="B51">
        <v>12</v>
      </c>
      <c r="C51">
        <v>15</v>
      </c>
      <c r="D51">
        <v>0</v>
      </c>
      <c r="E51">
        <v>4993</v>
      </c>
      <c r="F51">
        <v>0</v>
      </c>
      <c r="G51">
        <v>200</v>
      </c>
      <c r="H51">
        <v>600</v>
      </c>
      <c r="I51">
        <v>1000</v>
      </c>
    </row>
    <row r="52" spans="1:9" x14ac:dyDescent="0.25">
      <c r="A52">
        <v>750</v>
      </c>
      <c r="B52">
        <v>12</v>
      </c>
      <c r="C52">
        <v>30</v>
      </c>
      <c r="D52">
        <v>0</v>
      </c>
      <c r="E52">
        <v>5000</v>
      </c>
      <c r="F52">
        <v>0</v>
      </c>
      <c r="G52">
        <v>200</v>
      </c>
      <c r="H52">
        <v>700</v>
      </c>
      <c r="I52">
        <v>1000</v>
      </c>
    </row>
    <row r="53" spans="1:9" x14ac:dyDescent="0.25">
      <c r="A53">
        <v>765</v>
      </c>
      <c r="B53">
        <v>12</v>
      </c>
      <c r="C53">
        <v>45</v>
      </c>
      <c r="D53">
        <v>0</v>
      </c>
      <c r="E53">
        <v>4993</v>
      </c>
      <c r="F53">
        <v>0</v>
      </c>
      <c r="G53">
        <v>200</v>
      </c>
      <c r="H53">
        <v>700</v>
      </c>
      <c r="I53">
        <v>1000</v>
      </c>
    </row>
    <row r="54" spans="1:9" x14ac:dyDescent="0.25">
      <c r="A54">
        <v>780</v>
      </c>
      <c r="B54">
        <v>13</v>
      </c>
      <c r="C54">
        <v>0</v>
      </c>
      <c r="D54">
        <v>0</v>
      </c>
      <c r="E54">
        <v>4970</v>
      </c>
      <c r="F54">
        <v>0</v>
      </c>
      <c r="G54">
        <v>200</v>
      </c>
      <c r="H54">
        <v>600</v>
      </c>
      <c r="I54">
        <v>1000</v>
      </c>
    </row>
    <row r="55" spans="1:9" x14ac:dyDescent="0.25">
      <c r="A55">
        <v>795</v>
      </c>
      <c r="B55">
        <v>13</v>
      </c>
      <c r="C55">
        <v>15</v>
      </c>
      <c r="D55">
        <v>0</v>
      </c>
      <c r="E55">
        <v>4933</v>
      </c>
      <c r="F55">
        <v>0</v>
      </c>
      <c r="G55">
        <v>200</v>
      </c>
      <c r="H55">
        <v>600</v>
      </c>
      <c r="I55">
        <v>1000</v>
      </c>
    </row>
    <row r="56" spans="1:9" x14ac:dyDescent="0.25">
      <c r="A56">
        <v>810</v>
      </c>
      <c r="B56">
        <v>13</v>
      </c>
      <c r="C56">
        <v>30</v>
      </c>
      <c r="D56">
        <v>0</v>
      </c>
      <c r="E56">
        <v>4882</v>
      </c>
      <c r="F56">
        <v>0</v>
      </c>
      <c r="G56">
        <v>200</v>
      </c>
      <c r="H56">
        <v>700</v>
      </c>
      <c r="I56">
        <v>1000</v>
      </c>
    </row>
    <row r="57" spans="1:9" x14ac:dyDescent="0.25">
      <c r="A57">
        <v>825</v>
      </c>
      <c r="B57">
        <v>13</v>
      </c>
      <c r="C57">
        <v>45</v>
      </c>
      <c r="D57">
        <v>0</v>
      </c>
      <c r="E57">
        <v>4815</v>
      </c>
      <c r="F57">
        <v>0</v>
      </c>
      <c r="G57">
        <v>200</v>
      </c>
      <c r="H57">
        <v>700</v>
      </c>
      <c r="I57">
        <v>1000</v>
      </c>
    </row>
    <row r="58" spans="1:9" x14ac:dyDescent="0.25">
      <c r="A58">
        <v>840</v>
      </c>
      <c r="B58">
        <v>14</v>
      </c>
      <c r="C58">
        <v>0</v>
      </c>
      <c r="D58">
        <v>0</v>
      </c>
      <c r="E58">
        <v>4734</v>
      </c>
      <c r="F58">
        <v>0</v>
      </c>
      <c r="G58">
        <v>200</v>
      </c>
      <c r="H58">
        <v>600</v>
      </c>
      <c r="I58">
        <v>1000</v>
      </c>
    </row>
    <row r="59" spans="1:9" x14ac:dyDescent="0.25">
      <c r="A59">
        <v>855</v>
      </c>
      <c r="B59">
        <v>14</v>
      </c>
      <c r="C59">
        <v>15</v>
      </c>
      <c r="D59">
        <v>0</v>
      </c>
      <c r="E59">
        <v>4638</v>
      </c>
      <c r="F59">
        <v>0</v>
      </c>
      <c r="G59">
        <v>200</v>
      </c>
      <c r="H59">
        <v>600</v>
      </c>
      <c r="I59">
        <v>1000</v>
      </c>
    </row>
    <row r="60" spans="1:9" x14ac:dyDescent="0.25">
      <c r="A60">
        <v>870</v>
      </c>
      <c r="B60">
        <v>14</v>
      </c>
      <c r="C60">
        <v>30</v>
      </c>
      <c r="D60">
        <v>0</v>
      </c>
      <c r="E60">
        <v>4527</v>
      </c>
      <c r="F60">
        <v>0</v>
      </c>
      <c r="G60">
        <v>200</v>
      </c>
      <c r="H60">
        <v>700</v>
      </c>
      <c r="I60">
        <v>1000</v>
      </c>
    </row>
    <row r="61" spans="1:9" x14ac:dyDescent="0.25">
      <c r="A61">
        <v>885</v>
      </c>
      <c r="B61">
        <v>14</v>
      </c>
      <c r="C61">
        <v>45</v>
      </c>
      <c r="D61">
        <v>0</v>
      </c>
      <c r="E61">
        <v>4401</v>
      </c>
      <c r="F61">
        <v>0</v>
      </c>
      <c r="G61">
        <v>200</v>
      </c>
      <c r="H61">
        <v>700</v>
      </c>
      <c r="I61">
        <v>1000</v>
      </c>
    </row>
    <row r="62" spans="1:9" x14ac:dyDescent="0.25">
      <c r="A62">
        <v>900</v>
      </c>
      <c r="B62">
        <v>15</v>
      </c>
      <c r="C62">
        <v>0</v>
      </c>
      <c r="D62">
        <v>0</v>
      </c>
      <c r="E62">
        <v>4260</v>
      </c>
      <c r="F62">
        <v>0</v>
      </c>
      <c r="G62">
        <v>200</v>
      </c>
      <c r="H62">
        <v>600</v>
      </c>
      <c r="I62">
        <v>1000</v>
      </c>
    </row>
    <row r="63" spans="1:9" x14ac:dyDescent="0.25">
      <c r="A63">
        <v>915</v>
      </c>
      <c r="B63">
        <v>15</v>
      </c>
      <c r="C63">
        <v>15</v>
      </c>
      <c r="D63">
        <v>0</v>
      </c>
      <c r="E63">
        <v>4105</v>
      </c>
      <c r="F63">
        <v>0</v>
      </c>
      <c r="G63">
        <v>200</v>
      </c>
      <c r="H63">
        <v>600</v>
      </c>
      <c r="I63">
        <v>1000</v>
      </c>
    </row>
    <row r="64" spans="1:9" x14ac:dyDescent="0.25">
      <c r="A64">
        <v>930</v>
      </c>
      <c r="B64">
        <v>15</v>
      </c>
      <c r="C64">
        <v>30</v>
      </c>
      <c r="D64">
        <v>0</v>
      </c>
      <c r="E64">
        <v>3935</v>
      </c>
      <c r="F64">
        <v>0</v>
      </c>
      <c r="G64">
        <v>200</v>
      </c>
      <c r="H64">
        <v>700</v>
      </c>
      <c r="I64">
        <v>1000</v>
      </c>
    </row>
    <row r="65" spans="1:9" x14ac:dyDescent="0.25">
      <c r="A65">
        <v>945</v>
      </c>
      <c r="B65">
        <v>15</v>
      </c>
      <c r="C65">
        <v>45</v>
      </c>
      <c r="D65">
        <v>0</v>
      </c>
      <c r="E65">
        <v>3750</v>
      </c>
      <c r="F65">
        <v>0</v>
      </c>
      <c r="G65">
        <v>200</v>
      </c>
      <c r="H65">
        <v>700</v>
      </c>
      <c r="I65">
        <v>1000</v>
      </c>
    </row>
    <row r="66" spans="1:9" x14ac:dyDescent="0.25">
      <c r="A66">
        <v>960</v>
      </c>
      <c r="B66">
        <v>16</v>
      </c>
      <c r="C66">
        <v>0</v>
      </c>
      <c r="D66">
        <v>0</v>
      </c>
      <c r="E66">
        <v>3550</v>
      </c>
      <c r="F66">
        <v>0</v>
      </c>
      <c r="G66">
        <v>200</v>
      </c>
      <c r="H66">
        <v>600</v>
      </c>
      <c r="I66">
        <v>1000</v>
      </c>
    </row>
    <row r="67" spans="1:9" x14ac:dyDescent="0.25">
      <c r="A67">
        <v>975</v>
      </c>
      <c r="B67">
        <v>16</v>
      </c>
      <c r="C67">
        <v>15</v>
      </c>
      <c r="D67">
        <v>0</v>
      </c>
      <c r="E67">
        <v>3336</v>
      </c>
      <c r="F67">
        <v>0</v>
      </c>
      <c r="G67">
        <v>200</v>
      </c>
      <c r="H67">
        <v>600</v>
      </c>
      <c r="I67">
        <v>1000</v>
      </c>
    </row>
    <row r="68" spans="1:9" x14ac:dyDescent="0.25">
      <c r="A68">
        <v>990</v>
      </c>
      <c r="B68">
        <v>16</v>
      </c>
      <c r="C68">
        <v>30</v>
      </c>
      <c r="D68">
        <v>0</v>
      </c>
      <c r="E68">
        <v>3107</v>
      </c>
      <c r="F68">
        <v>0</v>
      </c>
      <c r="G68">
        <v>200</v>
      </c>
      <c r="H68">
        <v>700</v>
      </c>
      <c r="I68">
        <v>1000</v>
      </c>
    </row>
    <row r="69" spans="1:9" x14ac:dyDescent="0.25">
      <c r="A69">
        <v>1005</v>
      </c>
      <c r="B69">
        <v>16</v>
      </c>
      <c r="C69">
        <v>45</v>
      </c>
      <c r="D69">
        <v>0</v>
      </c>
      <c r="E69">
        <v>2862</v>
      </c>
      <c r="F69">
        <v>0</v>
      </c>
      <c r="G69">
        <v>200</v>
      </c>
      <c r="H69">
        <v>700</v>
      </c>
      <c r="I69">
        <v>1000</v>
      </c>
    </row>
    <row r="70" spans="1:9" x14ac:dyDescent="0.25">
      <c r="A70">
        <v>1020</v>
      </c>
      <c r="B70">
        <v>17</v>
      </c>
      <c r="C70">
        <v>0</v>
      </c>
      <c r="D70">
        <v>0</v>
      </c>
      <c r="E70">
        <v>2604</v>
      </c>
      <c r="F70">
        <v>0</v>
      </c>
      <c r="G70">
        <v>200</v>
      </c>
      <c r="H70">
        <v>3300</v>
      </c>
      <c r="I70">
        <v>1000</v>
      </c>
    </row>
    <row r="71" spans="1:9" x14ac:dyDescent="0.25">
      <c r="A71">
        <v>1035</v>
      </c>
      <c r="B71">
        <v>17</v>
      </c>
      <c r="C71">
        <v>15</v>
      </c>
      <c r="D71">
        <v>0</v>
      </c>
      <c r="E71">
        <v>2330</v>
      </c>
      <c r="F71">
        <v>0</v>
      </c>
      <c r="G71">
        <v>200</v>
      </c>
      <c r="H71">
        <v>3300</v>
      </c>
      <c r="I71">
        <v>1000</v>
      </c>
    </row>
    <row r="72" spans="1:9" x14ac:dyDescent="0.25">
      <c r="A72">
        <v>1050</v>
      </c>
      <c r="B72">
        <v>17</v>
      </c>
      <c r="C72">
        <v>30</v>
      </c>
      <c r="D72">
        <v>0</v>
      </c>
      <c r="E72">
        <v>2041</v>
      </c>
      <c r="F72">
        <v>0</v>
      </c>
      <c r="G72">
        <v>200</v>
      </c>
      <c r="H72">
        <v>3400</v>
      </c>
      <c r="I72">
        <v>1000</v>
      </c>
    </row>
    <row r="73" spans="1:9" x14ac:dyDescent="0.25">
      <c r="A73">
        <v>1065</v>
      </c>
      <c r="B73">
        <v>17</v>
      </c>
      <c r="C73">
        <v>45</v>
      </c>
      <c r="D73">
        <v>0</v>
      </c>
      <c r="E73">
        <v>1738</v>
      </c>
      <c r="F73">
        <v>0</v>
      </c>
      <c r="G73">
        <v>200</v>
      </c>
      <c r="H73">
        <v>3400</v>
      </c>
      <c r="I73">
        <v>1000</v>
      </c>
    </row>
    <row r="74" spans="1:9" x14ac:dyDescent="0.25">
      <c r="A74">
        <v>1080</v>
      </c>
      <c r="B74">
        <v>18</v>
      </c>
      <c r="C74">
        <v>0</v>
      </c>
      <c r="D74">
        <v>0</v>
      </c>
      <c r="E74">
        <v>1420</v>
      </c>
      <c r="F74">
        <v>0</v>
      </c>
      <c r="G74">
        <v>200</v>
      </c>
      <c r="H74">
        <v>800</v>
      </c>
      <c r="I74">
        <v>3000</v>
      </c>
    </row>
    <row r="75" spans="1:9" x14ac:dyDescent="0.25">
      <c r="A75">
        <v>1095</v>
      </c>
      <c r="B75">
        <v>18</v>
      </c>
      <c r="C75">
        <v>15</v>
      </c>
      <c r="D75">
        <v>0</v>
      </c>
      <c r="E75">
        <v>1087</v>
      </c>
      <c r="F75">
        <v>0</v>
      </c>
      <c r="G75">
        <v>200</v>
      </c>
      <c r="H75">
        <v>800</v>
      </c>
      <c r="I75">
        <v>3000</v>
      </c>
    </row>
    <row r="76" spans="1:9" x14ac:dyDescent="0.25">
      <c r="A76">
        <v>1110</v>
      </c>
      <c r="B76">
        <v>18</v>
      </c>
      <c r="C76">
        <v>30</v>
      </c>
      <c r="D76">
        <v>0</v>
      </c>
      <c r="E76">
        <v>740</v>
      </c>
      <c r="F76">
        <v>0</v>
      </c>
      <c r="G76">
        <v>200</v>
      </c>
      <c r="H76">
        <v>900</v>
      </c>
      <c r="I76">
        <v>3000</v>
      </c>
    </row>
    <row r="77" spans="1:9" x14ac:dyDescent="0.25">
      <c r="A77">
        <v>1125</v>
      </c>
      <c r="B77">
        <v>18</v>
      </c>
      <c r="C77">
        <v>45</v>
      </c>
      <c r="D77">
        <v>0</v>
      </c>
      <c r="E77">
        <v>377</v>
      </c>
      <c r="F77">
        <v>0</v>
      </c>
      <c r="G77">
        <v>200</v>
      </c>
      <c r="H77">
        <v>900</v>
      </c>
      <c r="I77">
        <v>3000</v>
      </c>
    </row>
    <row r="78" spans="1:9" x14ac:dyDescent="0.25">
      <c r="A78">
        <v>1140</v>
      </c>
      <c r="B78">
        <v>19</v>
      </c>
      <c r="C78">
        <v>0</v>
      </c>
      <c r="D78">
        <v>0</v>
      </c>
      <c r="E78">
        <v>0</v>
      </c>
      <c r="F78">
        <v>0</v>
      </c>
      <c r="G78">
        <v>200</v>
      </c>
      <c r="H78">
        <v>800</v>
      </c>
      <c r="I78">
        <v>1000</v>
      </c>
    </row>
    <row r="79" spans="1:9" x14ac:dyDescent="0.25">
      <c r="A79">
        <v>1155</v>
      </c>
      <c r="B79">
        <v>19</v>
      </c>
      <c r="C79">
        <v>15</v>
      </c>
      <c r="D79">
        <v>0</v>
      </c>
      <c r="E79">
        <v>0</v>
      </c>
      <c r="F79">
        <v>100</v>
      </c>
      <c r="G79">
        <v>200</v>
      </c>
      <c r="H79">
        <v>800</v>
      </c>
      <c r="I79">
        <v>1000</v>
      </c>
    </row>
    <row r="80" spans="1:9" x14ac:dyDescent="0.25">
      <c r="A80">
        <v>1170</v>
      </c>
      <c r="B80">
        <v>19</v>
      </c>
      <c r="C80">
        <v>30</v>
      </c>
      <c r="D80">
        <v>0</v>
      </c>
      <c r="E80">
        <v>0</v>
      </c>
      <c r="F80">
        <v>100</v>
      </c>
      <c r="G80">
        <v>200</v>
      </c>
      <c r="H80">
        <v>900</v>
      </c>
      <c r="I80">
        <v>1000</v>
      </c>
    </row>
    <row r="81" spans="1:9" x14ac:dyDescent="0.25">
      <c r="A81">
        <v>1185</v>
      </c>
      <c r="B81">
        <v>19</v>
      </c>
      <c r="C81">
        <v>45</v>
      </c>
      <c r="D81">
        <v>0</v>
      </c>
      <c r="E81">
        <v>0</v>
      </c>
      <c r="F81">
        <v>100</v>
      </c>
      <c r="G81">
        <v>200</v>
      </c>
      <c r="H81">
        <v>900</v>
      </c>
      <c r="I81">
        <v>1000</v>
      </c>
    </row>
    <row r="82" spans="1:9" x14ac:dyDescent="0.25">
      <c r="A82">
        <v>1200</v>
      </c>
      <c r="B82">
        <v>20</v>
      </c>
      <c r="C82">
        <v>0</v>
      </c>
      <c r="D82">
        <v>0</v>
      </c>
      <c r="E82">
        <v>0</v>
      </c>
      <c r="F82">
        <v>100</v>
      </c>
      <c r="G82">
        <v>200</v>
      </c>
      <c r="H82">
        <v>800</v>
      </c>
      <c r="I82">
        <v>1000</v>
      </c>
    </row>
    <row r="83" spans="1:9" x14ac:dyDescent="0.25">
      <c r="A83">
        <v>1215</v>
      </c>
      <c r="B83">
        <v>20</v>
      </c>
      <c r="C83">
        <v>15</v>
      </c>
      <c r="D83">
        <v>0</v>
      </c>
      <c r="E83">
        <v>0</v>
      </c>
      <c r="F83">
        <v>100</v>
      </c>
      <c r="G83">
        <v>200</v>
      </c>
      <c r="H83">
        <v>800</v>
      </c>
      <c r="I83">
        <v>1000</v>
      </c>
    </row>
    <row r="84" spans="1:9" x14ac:dyDescent="0.25">
      <c r="A84">
        <v>1230</v>
      </c>
      <c r="B84">
        <v>20</v>
      </c>
      <c r="C84">
        <v>30</v>
      </c>
      <c r="D84">
        <v>0</v>
      </c>
      <c r="E84">
        <v>0</v>
      </c>
      <c r="F84">
        <v>100</v>
      </c>
      <c r="G84">
        <v>200</v>
      </c>
      <c r="H84">
        <v>900</v>
      </c>
      <c r="I84">
        <v>1000</v>
      </c>
    </row>
    <row r="85" spans="1:9" x14ac:dyDescent="0.25">
      <c r="A85">
        <v>1245</v>
      </c>
      <c r="B85">
        <v>20</v>
      </c>
      <c r="C85">
        <v>45</v>
      </c>
      <c r="D85">
        <v>0</v>
      </c>
      <c r="E85">
        <v>0</v>
      </c>
      <c r="F85">
        <v>100</v>
      </c>
      <c r="G85">
        <v>200</v>
      </c>
      <c r="H85">
        <v>900</v>
      </c>
      <c r="I85">
        <v>1000</v>
      </c>
    </row>
    <row r="86" spans="1:9" x14ac:dyDescent="0.25">
      <c r="A86">
        <v>1260</v>
      </c>
      <c r="B86">
        <v>21</v>
      </c>
      <c r="C86">
        <v>0</v>
      </c>
      <c r="D86">
        <v>0</v>
      </c>
      <c r="E86">
        <v>0</v>
      </c>
      <c r="F86">
        <v>100</v>
      </c>
      <c r="G86">
        <v>200</v>
      </c>
      <c r="H86">
        <v>800</v>
      </c>
      <c r="I86">
        <v>500</v>
      </c>
    </row>
    <row r="87" spans="1:9" x14ac:dyDescent="0.25">
      <c r="A87">
        <v>1275</v>
      </c>
      <c r="B87">
        <v>21</v>
      </c>
      <c r="C87">
        <v>15</v>
      </c>
      <c r="D87">
        <v>0</v>
      </c>
      <c r="E87">
        <v>0</v>
      </c>
      <c r="F87">
        <v>100</v>
      </c>
      <c r="G87">
        <v>200</v>
      </c>
      <c r="H87">
        <v>800</v>
      </c>
      <c r="I87">
        <v>500</v>
      </c>
    </row>
    <row r="88" spans="1:9" x14ac:dyDescent="0.25">
      <c r="A88">
        <v>1290</v>
      </c>
      <c r="B88">
        <v>21</v>
      </c>
      <c r="C88">
        <v>30</v>
      </c>
      <c r="D88">
        <v>0</v>
      </c>
      <c r="E88">
        <v>0</v>
      </c>
      <c r="F88">
        <v>100</v>
      </c>
      <c r="G88">
        <v>200</v>
      </c>
      <c r="H88">
        <v>900</v>
      </c>
      <c r="I88">
        <v>500</v>
      </c>
    </row>
    <row r="89" spans="1:9" x14ac:dyDescent="0.25">
      <c r="A89">
        <v>1305</v>
      </c>
      <c r="B89">
        <v>21</v>
      </c>
      <c r="C89">
        <v>45</v>
      </c>
      <c r="D89">
        <v>0</v>
      </c>
      <c r="E89">
        <v>0</v>
      </c>
      <c r="F89">
        <v>100</v>
      </c>
      <c r="G89">
        <v>200</v>
      </c>
      <c r="H89">
        <v>900</v>
      </c>
      <c r="I89">
        <v>500</v>
      </c>
    </row>
    <row r="90" spans="1:9" x14ac:dyDescent="0.25">
      <c r="A90">
        <v>1320</v>
      </c>
      <c r="B90">
        <v>22</v>
      </c>
      <c r="C90">
        <v>0</v>
      </c>
      <c r="D90">
        <v>0</v>
      </c>
      <c r="E90">
        <v>0</v>
      </c>
      <c r="F90">
        <v>100</v>
      </c>
      <c r="G90">
        <v>200</v>
      </c>
      <c r="H90">
        <v>800</v>
      </c>
      <c r="I90">
        <v>500</v>
      </c>
    </row>
    <row r="91" spans="1:9" x14ac:dyDescent="0.25">
      <c r="A91">
        <v>1335</v>
      </c>
      <c r="B91">
        <v>22</v>
      </c>
      <c r="C91">
        <v>15</v>
      </c>
      <c r="D91">
        <v>0</v>
      </c>
      <c r="E91">
        <v>0</v>
      </c>
      <c r="F91">
        <v>100</v>
      </c>
      <c r="G91">
        <v>200</v>
      </c>
      <c r="H91">
        <v>800</v>
      </c>
      <c r="I91">
        <v>500</v>
      </c>
    </row>
    <row r="92" spans="1:9" x14ac:dyDescent="0.25">
      <c r="A92">
        <v>1350</v>
      </c>
      <c r="B92">
        <v>22</v>
      </c>
      <c r="C92">
        <v>30</v>
      </c>
      <c r="D92">
        <v>0</v>
      </c>
      <c r="E92">
        <v>0</v>
      </c>
      <c r="F92">
        <v>100</v>
      </c>
      <c r="G92">
        <v>200</v>
      </c>
      <c r="H92">
        <v>900</v>
      </c>
      <c r="I92">
        <v>500</v>
      </c>
    </row>
    <row r="93" spans="1:9" x14ac:dyDescent="0.25">
      <c r="A93">
        <v>1365</v>
      </c>
      <c r="B93">
        <v>22</v>
      </c>
      <c r="C93">
        <v>45</v>
      </c>
      <c r="D93">
        <v>0</v>
      </c>
      <c r="E93">
        <v>0</v>
      </c>
      <c r="F93">
        <v>100</v>
      </c>
      <c r="G93">
        <v>200</v>
      </c>
      <c r="H93">
        <v>900</v>
      </c>
      <c r="I93">
        <v>500</v>
      </c>
    </row>
    <row r="94" spans="1:9" x14ac:dyDescent="0.25">
      <c r="A94">
        <v>1380</v>
      </c>
      <c r="B94">
        <v>23</v>
      </c>
      <c r="C94">
        <v>0</v>
      </c>
      <c r="D94">
        <v>0</v>
      </c>
      <c r="E94">
        <v>0</v>
      </c>
      <c r="F94">
        <v>100</v>
      </c>
      <c r="G94">
        <v>200</v>
      </c>
      <c r="H94">
        <v>600</v>
      </c>
      <c r="I94">
        <v>500</v>
      </c>
    </row>
    <row r="95" spans="1:9" x14ac:dyDescent="0.25">
      <c r="A95">
        <v>1395</v>
      </c>
      <c r="B95">
        <v>23</v>
      </c>
      <c r="C95">
        <v>15</v>
      </c>
      <c r="D95">
        <v>0</v>
      </c>
      <c r="E95">
        <v>0</v>
      </c>
      <c r="F95">
        <v>100</v>
      </c>
      <c r="G95">
        <v>200</v>
      </c>
      <c r="H95">
        <v>600</v>
      </c>
      <c r="I95">
        <v>500</v>
      </c>
    </row>
    <row r="96" spans="1:9" x14ac:dyDescent="0.25">
      <c r="A96">
        <v>1410</v>
      </c>
      <c r="B96">
        <v>23</v>
      </c>
      <c r="C96">
        <v>30</v>
      </c>
      <c r="D96">
        <v>0</v>
      </c>
      <c r="E96">
        <v>0</v>
      </c>
      <c r="F96">
        <v>100</v>
      </c>
      <c r="G96">
        <v>200</v>
      </c>
      <c r="H96">
        <v>700</v>
      </c>
      <c r="I96">
        <v>500</v>
      </c>
    </row>
    <row r="97" spans="1:9" x14ac:dyDescent="0.25">
      <c r="A97">
        <v>1425</v>
      </c>
      <c r="B97">
        <v>23</v>
      </c>
      <c r="C97">
        <v>45</v>
      </c>
      <c r="D97">
        <v>0</v>
      </c>
      <c r="E97">
        <v>0</v>
      </c>
      <c r="F97">
        <v>100</v>
      </c>
      <c r="G97">
        <v>200</v>
      </c>
      <c r="H97">
        <v>700</v>
      </c>
      <c r="I97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data</vt:lpstr>
      <vt:lpstr>Sheet2</vt:lpstr>
      <vt:lpstr>Power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jorgen</dc:creator>
  <cp:lastModifiedBy>jorgen</cp:lastModifiedBy>
  <dcterms:created xsi:type="dcterms:W3CDTF">2026-01-12T18:20:09Z</dcterms:created>
  <dcterms:modified xsi:type="dcterms:W3CDTF">2026-01-16T09:10:52Z</dcterms:modified>
</cp:coreProperties>
</file>